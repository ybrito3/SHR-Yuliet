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HSTNTXDP2152PA\"/>
    </mc:Choice>
  </mc:AlternateContent>
  <xr:revisionPtr revIDLastSave="0" documentId="8_{FA4EFDC7-005C-4B09-9D78-B635834BB249}" xr6:coauthVersionLast="47" xr6:coauthVersionMax="47" xr10:uidLastSave="{00000000-0000-0000-0000-000000000000}"/>
  <workbookProtection workbookAlgorithmName="SHA-512" workbookHashValue="sQFQDX85U1TsWzo0mvNGKV/RwjThRU8gKcCI1rXJkdWM1k3w1yp1YHHpjHtDLf8DlcupvP/K/OuGIZE+JxYE8g==" workbookSaltValue="81epcVZZG6WbgmeHBn3ntg==" workbookSpinCount="100000" lockStructure="1"/>
  <bookViews>
    <workbookView xWindow="43665" yWindow="1290" windowWidth="21600" windowHeight="11385" firstSheet="1" activeTab="1" xr2:uid="{00000000-000D-0000-FFFF-FFFF00000000}"/>
  </bookViews>
  <sheets>
    <sheet name="INSTRUCTIONS" sheetId="10" state="hidden" r:id="rId1"/>
    <sheet name="CONTRACTOR INPUT" sheetId="9" r:id="rId2"/>
    <sheet name="CALC" sheetId="4" state="hidden" r:id="rId3"/>
    <sheet name="INFO-P" sheetId="8" state="hidden" r:id="rId4"/>
    <sheet name="INFO TABLE" sheetId="7" state="hidden" r:id="rId5"/>
    <sheet name="Sheet1" sheetId="11" state="hidden" r:id="rId6"/>
  </sheets>
  <definedNames>
    <definedName name="_xlnm._FilterDatabase" localSheetId="1" hidden="1">'CONTRACTOR INPUT'!$A$5:$J$145</definedName>
    <definedName name="_xlnm._FilterDatabase" localSheetId="4" hidden="1">'INFO TABLE'!$A$1:$S$198</definedName>
    <definedName name="_xlnm._FilterDatabase" localSheetId="3" hidden="1">'INFO-P'!$A$1:$G$561</definedName>
    <definedName name="_xlnm._FilterDatabase" localSheetId="5" hidden="1">Sheet1!$A$1:$E$171</definedName>
    <definedName name="BID_ZONE">'INFO TABLE'!$M:$M</definedName>
    <definedName name="SUPPLIER">'CONTRACTOR INPUT'!$H$2</definedName>
    <definedName name="WC_LOOKUP">CALC!$D$3</definedName>
    <definedName name="WC_NAME">'INFO TABLE'!$D:$D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26" i="7" l="1"/>
  <c r="E327" i="7"/>
  <c r="E328" i="7"/>
  <c r="B326" i="7"/>
  <c r="C326" i="7" s="1"/>
  <c r="B327" i="7"/>
  <c r="C327" i="7" s="1"/>
  <c r="B328" i="7"/>
  <c r="C328" i="7" s="1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J79" i="9"/>
  <c r="J136" i="9"/>
  <c r="J135" i="9"/>
  <c r="A7" i="4" l="1"/>
  <c r="B7" i="4"/>
  <c r="C7" i="4"/>
  <c r="D7" i="4"/>
  <c r="E7" i="4"/>
  <c r="F7" i="4"/>
  <c r="I7" i="4"/>
  <c r="A8" i="4"/>
  <c r="B8" i="4"/>
  <c r="C8" i="4"/>
  <c r="D8" i="4"/>
  <c r="E8" i="4"/>
  <c r="F8" i="4"/>
  <c r="I8" i="4"/>
  <c r="A9" i="4"/>
  <c r="B9" i="4"/>
  <c r="C9" i="4"/>
  <c r="D9" i="4"/>
  <c r="E9" i="4"/>
  <c r="F9" i="4"/>
  <c r="I9" i="4"/>
  <c r="A10" i="4"/>
  <c r="B10" i="4"/>
  <c r="C10" i="4"/>
  <c r="D10" i="4"/>
  <c r="E10" i="4"/>
  <c r="F10" i="4"/>
  <c r="I10" i="4"/>
  <c r="A11" i="4"/>
  <c r="B11" i="4"/>
  <c r="C11" i="4"/>
  <c r="D11" i="4"/>
  <c r="E11" i="4"/>
  <c r="F11" i="4"/>
  <c r="I11" i="4"/>
  <c r="K11" i="4" s="1"/>
  <c r="A12" i="4"/>
  <c r="B12" i="4"/>
  <c r="C12" i="4"/>
  <c r="D12" i="4"/>
  <c r="E12" i="4"/>
  <c r="F12" i="4"/>
  <c r="I12" i="4"/>
  <c r="A13" i="4"/>
  <c r="B13" i="4"/>
  <c r="C13" i="4"/>
  <c r="D13" i="4"/>
  <c r="E13" i="4"/>
  <c r="F13" i="4"/>
  <c r="I13" i="4"/>
  <c r="A14" i="4"/>
  <c r="B14" i="4"/>
  <c r="C14" i="4"/>
  <c r="D14" i="4"/>
  <c r="E14" i="4"/>
  <c r="F14" i="4"/>
  <c r="I14" i="4"/>
  <c r="A15" i="4"/>
  <c r="B15" i="4"/>
  <c r="C15" i="4"/>
  <c r="D15" i="4"/>
  <c r="E15" i="4"/>
  <c r="F15" i="4"/>
  <c r="I15" i="4"/>
  <c r="A16" i="4"/>
  <c r="B16" i="4"/>
  <c r="C16" i="4"/>
  <c r="D16" i="4"/>
  <c r="E16" i="4"/>
  <c r="F16" i="4"/>
  <c r="I16" i="4"/>
  <c r="A17" i="4"/>
  <c r="B17" i="4"/>
  <c r="C17" i="4"/>
  <c r="D17" i="4"/>
  <c r="E17" i="4"/>
  <c r="F17" i="4"/>
  <c r="I17" i="4"/>
  <c r="A18" i="4"/>
  <c r="B18" i="4"/>
  <c r="C18" i="4"/>
  <c r="D18" i="4"/>
  <c r="E18" i="4"/>
  <c r="F18" i="4"/>
  <c r="I18" i="4"/>
  <c r="A19" i="4"/>
  <c r="B19" i="4"/>
  <c r="C19" i="4"/>
  <c r="D19" i="4"/>
  <c r="E19" i="4"/>
  <c r="F19" i="4"/>
  <c r="I19" i="4"/>
  <c r="A20" i="4"/>
  <c r="B20" i="4"/>
  <c r="C20" i="4"/>
  <c r="D20" i="4"/>
  <c r="E20" i="4"/>
  <c r="F20" i="4"/>
  <c r="I20" i="4"/>
  <c r="A21" i="4"/>
  <c r="B21" i="4"/>
  <c r="C21" i="4"/>
  <c r="D21" i="4"/>
  <c r="E21" i="4"/>
  <c r="F21" i="4"/>
  <c r="I21" i="4"/>
  <c r="A22" i="4"/>
  <c r="B22" i="4"/>
  <c r="C22" i="4"/>
  <c r="D22" i="4"/>
  <c r="E22" i="4"/>
  <c r="F22" i="4"/>
  <c r="I22" i="4"/>
  <c r="A23" i="4"/>
  <c r="B23" i="4"/>
  <c r="C23" i="4"/>
  <c r="D23" i="4"/>
  <c r="E23" i="4"/>
  <c r="F23" i="4"/>
  <c r="I23" i="4"/>
  <c r="A24" i="4"/>
  <c r="B24" i="4"/>
  <c r="C24" i="4"/>
  <c r="D24" i="4"/>
  <c r="E24" i="4"/>
  <c r="F24" i="4"/>
  <c r="I24" i="4"/>
  <c r="A25" i="4"/>
  <c r="B25" i="4"/>
  <c r="C25" i="4"/>
  <c r="D25" i="4"/>
  <c r="E25" i="4"/>
  <c r="F25" i="4"/>
  <c r="I25" i="4"/>
  <c r="A26" i="4"/>
  <c r="B26" i="4"/>
  <c r="C26" i="4"/>
  <c r="D26" i="4"/>
  <c r="E26" i="4"/>
  <c r="F26" i="4"/>
  <c r="I26" i="4"/>
  <c r="A27" i="4"/>
  <c r="B27" i="4"/>
  <c r="C27" i="4"/>
  <c r="D27" i="4"/>
  <c r="E27" i="4"/>
  <c r="F27" i="4"/>
  <c r="I27" i="4"/>
  <c r="A28" i="4"/>
  <c r="B28" i="4"/>
  <c r="C28" i="4"/>
  <c r="D28" i="4"/>
  <c r="E28" i="4"/>
  <c r="F28" i="4"/>
  <c r="I28" i="4"/>
  <c r="A29" i="4"/>
  <c r="B29" i="4"/>
  <c r="C29" i="4"/>
  <c r="D29" i="4"/>
  <c r="E29" i="4"/>
  <c r="F29" i="4"/>
  <c r="I29" i="4"/>
  <c r="A30" i="4"/>
  <c r="B30" i="4"/>
  <c r="C30" i="4"/>
  <c r="D30" i="4"/>
  <c r="E30" i="4"/>
  <c r="F30" i="4"/>
  <c r="I30" i="4"/>
  <c r="A31" i="4"/>
  <c r="B31" i="4"/>
  <c r="C31" i="4"/>
  <c r="D31" i="4"/>
  <c r="E31" i="4"/>
  <c r="F31" i="4"/>
  <c r="I31" i="4"/>
  <c r="A32" i="4"/>
  <c r="B32" i="4"/>
  <c r="C32" i="4"/>
  <c r="D32" i="4"/>
  <c r="E32" i="4"/>
  <c r="F32" i="4"/>
  <c r="I32" i="4"/>
  <c r="A33" i="4"/>
  <c r="B33" i="4"/>
  <c r="C33" i="4"/>
  <c r="D33" i="4"/>
  <c r="E33" i="4"/>
  <c r="F33" i="4"/>
  <c r="I33" i="4"/>
  <c r="A34" i="4"/>
  <c r="B34" i="4"/>
  <c r="C34" i="4"/>
  <c r="D34" i="4"/>
  <c r="E34" i="4"/>
  <c r="F34" i="4"/>
  <c r="I34" i="4"/>
  <c r="A35" i="4"/>
  <c r="B35" i="4"/>
  <c r="C35" i="4"/>
  <c r="D35" i="4"/>
  <c r="E35" i="4"/>
  <c r="F35" i="4"/>
  <c r="I35" i="4"/>
  <c r="A36" i="4"/>
  <c r="B36" i="4"/>
  <c r="C36" i="4"/>
  <c r="D36" i="4"/>
  <c r="E36" i="4"/>
  <c r="F36" i="4"/>
  <c r="I36" i="4"/>
  <c r="A37" i="4"/>
  <c r="B37" i="4"/>
  <c r="C37" i="4"/>
  <c r="D37" i="4"/>
  <c r="E37" i="4"/>
  <c r="F37" i="4"/>
  <c r="I37" i="4"/>
  <c r="A38" i="4"/>
  <c r="B38" i="4"/>
  <c r="C38" i="4"/>
  <c r="D38" i="4"/>
  <c r="E38" i="4"/>
  <c r="F38" i="4"/>
  <c r="I38" i="4"/>
  <c r="A39" i="4"/>
  <c r="B39" i="4"/>
  <c r="C39" i="4"/>
  <c r="D39" i="4"/>
  <c r="E39" i="4"/>
  <c r="F39" i="4"/>
  <c r="I39" i="4"/>
  <c r="A40" i="4"/>
  <c r="B40" i="4"/>
  <c r="C40" i="4"/>
  <c r="D40" i="4"/>
  <c r="E40" i="4"/>
  <c r="F40" i="4"/>
  <c r="I40" i="4"/>
  <c r="A41" i="4"/>
  <c r="B41" i="4"/>
  <c r="C41" i="4"/>
  <c r="D41" i="4"/>
  <c r="E41" i="4"/>
  <c r="F41" i="4"/>
  <c r="I41" i="4"/>
  <c r="A42" i="4"/>
  <c r="B42" i="4"/>
  <c r="C42" i="4"/>
  <c r="D42" i="4"/>
  <c r="E42" i="4"/>
  <c r="F42" i="4"/>
  <c r="I42" i="4"/>
  <c r="A43" i="4"/>
  <c r="B43" i="4"/>
  <c r="C43" i="4"/>
  <c r="D43" i="4"/>
  <c r="E43" i="4"/>
  <c r="F43" i="4"/>
  <c r="I43" i="4"/>
  <c r="A44" i="4"/>
  <c r="B44" i="4"/>
  <c r="C44" i="4"/>
  <c r="D44" i="4"/>
  <c r="E44" i="4"/>
  <c r="F44" i="4"/>
  <c r="I44" i="4"/>
  <c r="A45" i="4"/>
  <c r="B45" i="4"/>
  <c r="C45" i="4"/>
  <c r="D45" i="4"/>
  <c r="E45" i="4"/>
  <c r="F45" i="4"/>
  <c r="I45" i="4"/>
  <c r="A46" i="4"/>
  <c r="B46" i="4"/>
  <c r="C46" i="4"/>
  <c r="D46" i="4"/>
  <c r="E46" i="4"/>
  <c r="F46" i="4"/>
  <c r="I46" i="4"/>
  <c r="A47" i="4"/>
  <c r="B47" i="4"/>
  <c r="C47" i="4"/>
  <c r="D47" i="4"/>
  <c r="E47" i="4"/>
  <c r="F47" i="4"/>
  <c r="I47" i="4"/>
  <c r="A48" i="4"/>
  <c r="B48" i="4"/>
  <c r="C48" i="4"/>
  <c r="D48" i="4"/>
  <c r="E48" i="4"/>
  <c r="F48" i="4"/>
  <c r="I48" i="4"/>
  <c r="A49" i="4"/>
  <c r="B49" i="4"/>
  <c r="C49" i="4"/>
  <c r="D49" i="4"/>
  <c r="E49" i="4"/>
  <c r="F49" i="4"/>
  <c r="I49" i="4"/>
  <c r="A50" i="4"/>
  <c r="B50" i="4"/>
  <c r="C50" i="4"/>
  <c r="D50" i="4"/>
  <c r="E50" i="4"/>
  <c r="F50" i="4"/>
  <c r="I50" i="4"/>
  <c r="A51" i="4"/>
  <c r="B51" i="4"/>
  <c r="C51" i="4"/>
  <c r="D51" i="4"/>
  <c r="E51" i="4"/>
  <c r="F51" i="4"/>
  <c r="I51" i="4"/>
  <c r="A52" i="4"/>
  <c r="B52" i="4"/>
  <c r="C52" i="4"/>
  <c r="D52" i="4"/>
  <c r="E52" i="4"/>
  <c r="F52" i="4"/>
  <c r="I52" i="4"/>
  <c r="A53" i="4"/>
  <c r="B53" i="4"/>
  <c r="C53" i="4"/>
  <c r="D53" i="4"/>
  <c r="E53" i="4"/>
  <c r="F53" i="4"/>
  <c r="I53" i="4"/>
  <c r="A54" i="4"/>
  <c r="B54" i="4"/>
  <c r="C54" i="4"/>
  <c r="D54" i="4"/>
  <c r="E54" i="4"/>
  <c r="F54" i="4"/>
  <c r="I54" i="4"/>
  <c r="A55" i="4"/>
  <c r="B55" i="4"/>
  <c r="C55" i="4"/>
  <c r="D55" i="4"/>
  <c r="E55" i="4"/>
  <c r="F55" i="4"/>
  <c r="I55" i="4"/>
  <c r="A56" i="4"/>
  <c r="B56" i="4"/>
  <c r="C56" i="4"/>
  <c r="D56" i="4"/>
  <c r="E56" i="4"/>
  <c r="F56" i="4"/>
  <c r="I56" i="4"/>
  <c r="A57" i="4"/>
  <c r="B57" i="4"/>
  <c r="C57" i="4"/>
  <c r="D57" i="4"/>
  <c r="E57" i="4"/>
  <c r="F57" i="4"/>
  <c r="I57" i="4"/>
  <c r="A58" i="4"/>
  <c r="B58" i="4"/>
  <c r="C58" i="4"/>
  <c r="D58" i="4"/>
  <c r="E58" i="4"/>
  <c r="F58" i="4"/>
  <c r="I58" i="4"/>
  <c r="A59" i="4"/>
  <c r="B59" i="4"/>
  <c r="C59" i="4"/>
  <c r="D59" i="4"/>
  <c r="E59" i="4"/>
  <c r="F59" i="4"/>
  <c r="I59" i="4"/>
  <c r="A60" i="4"/>
  <c r="B60" i="4"/>
  <c r="C60" i="4"/>
  <c r="D60" i="4"/>
  <c r="E60" i="4"/>
  <c r="F60" i="4"/>
  <c r="I60" i="4"/>
  <c r="A61" i="4"/>
  <c r="B61" i="4"/>
  <c r="C61" i="4"/>
  <c r="D61" i="4"/>
  <c r="E61" i="4"/>
  <c r="F61" i="4"/>
  <c r="I61" i="4"/>
  <c r="A62" i="4"/>
  <c r="B62" i="4"/>
  <c r="C62" i="4"/>
  <c r="D62" i="4"/>
  <c r="E62" i="4"/>
  <c r="F62" i="4"/>
  <c r="I62" i="4"/>
  <c r="A63" i="4"/>
  <c r="B63" i="4"/>
  <c r="C63" i="4"/>
  <c r="D63" i="4"/>
  <c r="E63" i="4"/>
  <c r="F63" i="4"/>
  <c r="I63" i="4"/>
  <c r="A64" i="4"/>
  <c r="B64" i="4"/>
  <c r="C64" i="4"/>
  <c r="D64" i="4"/>
  <c r="E64" i="4"/>
  <c r="F64" i="4"/>
  <c r="I64" i="4"/>
  <c r="A65" i="4"/>
  <c r="B65" i="4"/>
  <c r="C65" i="4"/>
  <c r="D65" i="4"/>
  <c r="E65" i="4"/>
  <c r="F65" i="4"/>
  <c r="I65" i="4"/>
  <c r="A66" i="4"/>
  <c r="B66" i="4"/>
  <c r="C66" i="4"/>
  <c r="D66" i="4"/>
  <c r="E66" i="4"/>
  <c r="F66" i="4"/>
  <c r="I66" i="4"/>
  <c r="A67" i="4"/>
  <c r="B67" i="4"/>
  <c r="C67" i="4"/>
  <c r="D67" i="4"/>
  <c r="E67" i="4"/>
  <c r="F67" i="4"/>
  <c r="I67" i="4"/>
  <c r="A68" i="4"/>
  <c r="B68" i="4"/>
  <c r="C68" i="4"/>
  <c r="D68" i="4"/>
  <c r="E68" i="4"/>
  <c r="F68" i="4"/>
  <c r="I68" i="4"/>
  <c r="A69" i="4"/>
  <c r="B69" i="4"/>
  <c r="C69" i="4"/>
  <c r="D69" i="4"/>
  <c r="E69" i="4"/>
  <c r="F69" i="4"/>
  <c r="I69" i="4"/>
  <c r="A70" i="4"/>
  <c r="B70" i="4"/>
  <c r="C70" i="4"/>
  <c r="D70" i="4"/>
  <c r="E70" i="4"/>
  <c r="F70" i="4"/>
  <c r="I70" i="4"/>
  <c r="A71" i="4"/>
  <c r="B71" i="4"/>
  <c r="C71" i="4"/>
  <c r="D71" i="4"/>
  <c r="E71" i="4"/>
  <c r="F71" i="4"/>
  <c r="I71" i="4"/>
  <c r="K71" i="4" s="1"/>
  <c r="A72" i="4"/>
  <c r="B72" i="4"/>
  <c r="C72" i="4"/>
  <c r="D72" i="4"/>
  <c r="E72" i="4"/>
  <c r="F72" i="4"/>
  <c r="I72" i="4"/>
  <c r="A73" i="4"/>
  <c r="B73" i="4"/>
  <c r="C73" i="4"/>
  <c r="D73" i="4"/>
  <c r="E73" i="4"/>
  <c r="F73" i="4"/>
  <c r="I73" i="4"/>
  <c r="A74" i="4"/>
  <c r="B74" i="4"/>
  <c r="C74" i="4"/>
  <c r="D74" i="4"/>
  <c r="E74" i="4"/>
  <c r="F74" i="4"/>
  <c r="I74" i="4"/>
  <c r="A75" i="4"/>
  <c r="B75" i="4"/>
  <c r="C75" i="4"/>
  <c r="D75" i="4"/>
  <c r="E75" i="4"/>
  <c r="F75" i="4"/>
  <c r="I75" i="4"/>
  <c r="A76" i="4"/>
  <c r="B76" i="4"/>
  <c r="C76" i="4"/>
  <c r="D76" i="4"/>
  <c r="E76" i="4"/>
  <c r="F76" i="4"/>
  <c r="I76" i="4"/>
  <c r="A77" i="4"/>
  <c r="B77" i="4"/>
  <c r="C77" i="4"/>
  <c r="D77" i="4"/>
  <c r="E77" i="4"/>
  <c r="F77" i="4"/>
  <c r="I77" i="4"/>
  <c r="A78" i="4"/>
  <c r="B78" i="4"/>
  <c r="C78" i="4"/>
  <c r="D78" i="4"/>
  <c r="E78" i="4"/>
  <c r="F78" i="4"/>
  <c r="I78" i="4"/>
  <c r="A79" i="4"/>
  <c r="B79" i="4"/>
  <c r="C79" i="4"/>
  <c r="D79" i="4"/>
  <c r="E79" i="4"/>
  <c r="F79" i="4"/>
  <c r="I79" i="4"/>
  <c r="A80" i="4"/>
  <c r="B80" i="4"/>
  <c r="C80" i="4"/>
  <c r="D80" i="4"/>
  <c r="E80" i="4"/>
  <c r="F80" i="4"/>
  <c r="I80" i="4"/>
  <c r="A81" i="4"/>
  <c r="B81" i="4"/>
  <c r="C81" i="4"/>
  <c r="D81" i="4"/>
  <c r="E81" i="4"/>
  <c r="F81" i="4"/>
  <c r="I81" i="4"/>
  <c r="A82" i="4"/>
  <c r="B82" i="4"/>
  <c r="C82" i="4"/>
  <c r="D82" i="4"/>
  <c r="E82" i="4"/>
  <c r="F82" i="4"/>
  <c r="I82" i="4"/>
  <c r="A83" i="4"/>
  <c r="B83" i="4"/>
  <c r="C83" i="4"/>
  <c r="D83" i="4"/>
  <c r="E83" i="4"/>
  <c r="F83" i="4"/>
  <c r="I83" i="4"/>
  <c r="A84" i="4"/>
  <c r="B84" i="4"/>
  <c r="C84" i="4"/>
  <c r="D84" i="4"/>
  <c r="E84" i="4"/>
  <c r="F84" i="4"/>
  <c r="I84" i="4"/>
  <c r="A85" i="4"/>
  <c r="B85" i="4"/>
  <c r="C85" i="4"/>
  <c r="D85" i="4"/>
  <c r="E85" i="4"/>
  <c r="F85" i="4"/>
  <c r="I85" i="4"/>
  <c r="A86" i="4"/>
  <c r="B86" i="4"/>
  <c r="C86" i="4"/>
  <c r="D86" i="4"/>
  <c r="E86" i="4"/>
  <c r="F86" i="4"/>
  <c r="I86" i="4"/>
  <c r="A87" i="4"/>
  <c r="B87" i="4"/>
  <c r="C87" i="4"/>
  <c r="D87" i="4"/>
  <c r="E87" i="4"/>
  <c r="F87" i="4"/>
  <c r="I87" i="4"/>
  <c r="A88" i="4"/>
  <c r="B88" i="4"/>
  <c r="C88" i="4"/>
  <c r="D88" i="4"/>
  <c r="E88" i="4"/>
  <c r="F88" i="4"/>
  <c r="I88" i="4"/>
  <c r="A89" i="4"/>
  <c r="B89" i="4"/>
  <c r="C89" i="4"/>
  <c r="D89" i="4"/>
  <c r="E89" i="4"/>
  <c r="F89" i="4"/>
  <c r="I89" i="4"/>
  <c r="A90" i="4"/>
  <c r="B90" i="4"/>
  <c r="C90" i="4"/>
  <c r="D90" i="4"/>
  <c r="E90" i="4"/>
  <c r="F90" i="4"/>
  <c r="I90" i="4"/>
  <c r="A91" i="4"/>
  <c r="B91" i="4"/>
  <c r="C91" i="4"/>
  <c r="D91" i="4"/>
  <c r="E91" i="4"/>
  <c r="F91" i="4"/>
  <c r="I91" i="4"/>
  <c r="A92" i="4"/>
  <c r="B92" i="4"/>
  <c r="C92" i="4"/>
  <c r="D92" i="4"/>
  <c r="E92" i="4"/>
  <c r="F92" i="4"/>
  <c r="I92" i="4"/>
  <c r="A93" i="4"/>
  <c r="B93" i="4"/>
  <c r="C93" i="4"/>
  <c r="D93" i="4"/>
  <c r="E93" i="4"/>
  <c r="F93" i="4"/>
  <c r="I93" i="4"/>
  <c r="A94" i="4"/>
  <c r="B94" i="4"/>
  <c r="C94" i="4"/>
  <c r="D94" i="4"/>
  <c r="E94" i="4"/>
  <c r="F94" i="4"/>
  <c r="I94" i="4"/>
  <c r="A95" i="4"/>
  <c r="B95" i="4"/>
  <c r="C95" i="4"/>
  <c r="D95" i="4"/>
  <c r="E95" i="4"/>
  <c r="F95" i="4"/>
  <c r="I95" i="4"/>
  <c r="A96" i="4"/>
  <c r="B96" i="4"/>
  <c r="C96" i="4"/>
  <c r="D96" i="4"/>
  <c r="E96" i="4"/>
  <c r="F96" i="4"/>
  <c r="I96" i="4"/>
  <c r="A97" i="4"/>
  <c r="B97" i="4"/>
  <c r="C97" i="4"/>
  <c r="D97" i="4"/>
  <c r="E97" i="4"/>
  <c r="F97" i="4"/>
  <c r="I97" i="4"/>
  <c r="A98" i="4"/>
  <c r="B98" i="4"/>
  <c r="C98" i="4"/>
  <c r="D98" i="4"/>
  <c r="E98" i="4"/>
  <c r="F98" i="4"/>
  <c r="I98" i="4"/>
  <c r="A99" i="4"/>
  <c r="B99" i="4"/>
  <c r="C99" i="4"/>
  <c r="D99" i="4"/>
  <c r="E99" i="4"/>
  <c r="F99" i="4"/>
  <c r="I99" i="4"/>
  <c r="A100" i="4"/>
  <c r="B100" i="4"/>
  <c r="C100" i="4"/>
  <c r="D100" i="4"/>
  <c r="E100" i="4"/>
  <c r="F100" i="4"/>
  <c r="I100" i="4"/>
  <c r="A101" i="4"/>
  <c r="B101" i="4"/>
  <c r="C101" i="4"/>
  <c r="D101" i="4"/>
  <c r="E101" i="4"/>
  <c r="F101" i="4"/>
  <c r="I101" i="4"/>
  <c r="A102" i="4"/>
  <c r="B102" i="4"/>
  <c r="C102" i="4"/>
  <c r="D102" i="4"/>
  <c r="E102" i="4"/>
  <c r="F102" i="4"/>
  <c r="I102" i="4"/>
  <c r="A103" i="4"/>
  <c r="B103" i="4"/>
  <c r="C103" i="4"/>
  <c r="D103" i="4"/>
  <c r="E103" i="4"/>
  <c r="F103" i="4"/>
  <c r="I103" i="4"/>
  <c r="A104" i="4"/>
  <c r="B104" i="4"/>
  <c r="C104" i="4"/>
  <c r="D104" i="4"/>
  <c r="E104" i="4"/>
  <c r="F104" i="4"/>
  <c r="I104" i="4"/>
  <c r="A105" i="4"/>
  <c r="B105" i="4"/>
  <c r="C105" i="4"/>
  <c r="D105" i="4"/>
  <c r="E105" i="4"/>
  <c r="F105" i="4"/>
  <c r="I105" i="4"/>
  <c r="A106" i="4"/>
  <c r="B106" i="4"/>
  <c r="C106" i="4"/>
  <c r="D106" i="4"/>
  <c r="E106" i="4"/>
  <c r="F106" i="4"/>
  <c r="I106" i="4"/>
  <c r="A107" i="4"/>
  <c r="B107" i="4"/>
  <c r="C107" i="4"/>
  <c r="D107" i="4"/>
  <c r="E107" i="4"/>
  <c r="F107" i="4"/>
  <c r="I107" i="4"/>
  <c r="A108" i="4"/>
  <c r="B108" i="4"/>
  <c r="C108" i="4"/>
  <c r="D108" i="4"/>
  <c r="E108" i="4"/>
  <c r="F108" i="4"/>
  <c r="I108" i="4"/>
  <c r="A109" i="4"/>
  <c r="B109" i="4"/>
  <c r="C109" i="4"/>
  <c r="D109" i="4"/>
  <c r="E109" i="4"/>
  <c r="F109" i="4"/>
  <c r="I109" i="4"/>
  <c r="A110" i="4"/>
  <c r="B110" i="4"/>
  <c r="C110" i="4"/>
  <c r="D110" i="4"/>
  <c r="E110" i="4"/>
  <c r="F110" i="4"/>
  <c r="I110" i="4"/>
  <c r="A111" i="4"/>
  <c r="B111" i="4"/>
  <c r="C111" i="4"/>
  <c r="D111" i="4"/>
  <c r="E111" i="4"/>
  <c r="F111" i="4"/>
  <c r="I111" i="4"/>
  <c r="A112" i="4"/>
  <c r="B112" i="4"/>
  <c r="C112" i="4"/>
  <c r="D112" i="4"/>
  <c r="E112" i="4"/>
  <c r="F112" i="4"/>
  <c r="I112" i="4"/>
  <c r="A113" i="4"/>
  <c r="B113" i="4"/>
  <c r="C113" i="4"/>
  <c r="D113" i="4"/>
  <c r="E113" i="4"/>
  <c r="F113" i="4"/>
  <c r="I113" i="4"/>
  <c r="A114" i="4"/>
  <c r="B114" i="4"/>
  <c r="C114" i="4"/>
  <c r="D114" i="4"/>
  <c r="E114" i="4"/>
  <c r="F114" i="4"/>
  <c r="I114" i="4"/>
  <c r="A115" i="4"/>
  <c r="B115" i="4"/>
  <c r="C115" i="4"/>
  <c r="D115" i="4"/>
  <c r="E115" i="4"/>
  <c r="F115" i="4"/>
  <c r="I115" i="4"/>
  <c r="A116" i="4"/>
  <c r="B116" i="4"/>
  <c r="C116" i="4"/>
  <c r="D116" i="4"/>
  <c r="E116" i="4"/>
  <c r="F116" i="4"/>
  <c r="I116" i="4"/>
  <c r="A117" i="4"/>
  <c r="B117" i="4"/>
  <c r="C117" i="4"/>
  <c r="D117" i="4"/>
  <c r="E117" i="4"/>
  <c r="F117" i="4"/>
  <c r="I117" i="4"/>
  <c r="A118" i="4"/>
  <c r="B118" i="4"/>
  <c r="C118" i="4"/>
  <c r="D118" i="4"/>
  <c r="E118" i="4"/>
  <c r="F118" i="4"/>
  <c r="I118" i="4"/>
  <c r="A119" i="4"/>
  <c r="B119" i="4"/>
  <c r="C119" i="4"/>
  <c r="D119" i="4"/>
  <c r="E119" i="4"/>
  <c r="F119" i="4"/>
  <c r="I119" i="4"/>
  <c r="A120" i="4"/>
  <c r="B120" i="4"/>
  <c r="C120" i="4"/>
  <c r="D120" i="4"/>
  <c r="E120" i="4"/>
  <c r="F120" i="4"/>
  <c r="I120" i="4"/>
  <c r="A121" i="4"/>
  <c r="B121" i="4"/>
  <c r="C121" i="4"/>
  <c r="D121" i="4"/>
  <c r="E121" i="4"/>
  <c r="F121" i="4"/>
  <c r="I121" i="4"/>
  <c r="A122" i="4"/>
  <c r="B122" i="4"/>
  <c r="C122" i="4"/>
  <c r="D122" i="4"/>
  <c r="E122" i="4"/>
  <c r="F122" i="4"/>
  <c r="I122" i="4"/>
  <c r="A123" i="4"/>
  <c r="B123" i="4"/>
  <c r="C123" i="4"/>
  <c r="D123" i="4"/>
  <c r="E123" i="4"/>
  <c r="F123" i="4"/>
  <c r="I123" i="4"/>
  <c r="A124" i="4"/>
  <c r="B124" i="4"/>
  <c r="C124" i="4"/>
  <c r="D124" i="4"/>
  <c r="E124" i="4"/>
  <c r="F124" i="4"/>
  <c r="I124" i="4"/>
  <c r="A125" i="4"/>
  <c r="B125" i="4"/>
  <c r="C125" i="4"/>
  <c r="D125" i="4"/>
  <c r="E125" i="4"/>
  <c r="F125" i="4"/>
  <c r="I125" i="4"/>
  <c r="A126" i="4"/>
  <c r="B126" i="4"/>
  <c r="C126" i="4"/>
  <c r="D126" i="4"/>
  <c r="E126" i="4"/>
  <c r="F126" i="4"/>
  <c r="I126" i="4"/>
  <c r="A127" i="4"/>
  <c r="B127" i="4"/>
  <c r="C127" i="4"/>
  <c r="D127" i="4"/>
  <c r="E127" i="4"/>
  <c r="F127" i="4"/>
  <c r="I127" i="4"/>
  <c r="A128" i="4"/>
  <c r="B128" i="4"/>
  <c r="C128" i="4"/>
  <c r="D128" i="4"/>
  <c r="E128" i="4"/>
  <c r="F128" i="4"/>
  <c r="I128" i="4"/>
  <c r="A129" i="4"/>
  <c r="B129" i="4"/>
  <c r="C129" i="4"/>
  <c r="D129" i="4"/>
  <c r="E129" i="4"/>
  <c r="F129" i="4"/>
  <c r="I129" i="4"/>
  <c r="A130" i="4"/>
  <c r="B130" i="4"/>
  <c r="C130" i="4"/>
  <c r="D130" i="4"/>
  <c r="E130" i="4"/>
  <c r="F130" i="4"/>
  <c r="I130" i="4"/>
  <c r="A131" i="4"/>
  <c r="B131" i="4"/>
  <c r="C131" i="4"/>
  <c r="D131" i="4"/>
  <c r="E131" i="4"/>
  <c r="F131" i="4"/>
  <c r="I131" i="4"/>
  <c r="A132" i="4"/>
  <c r="B132" i="4"/>
  <c r="C132" i="4"/>
  <c r="D132" i="4"/>
  <c r="E132" i="4"/>
  <c r="F132" i="4"/>
  <c r="I132" i="4"/>
  <c r="A133" i="4"/>
  <c r="B133" i="4"/>
  <c r="C133" i="4"/>
  <c r="D133" i="4"/>
  <c r="E133" i="4"/>
  <c r="F133" i="4"/>
  <c r="I133" i="4"/>
  <c r="A134" i="4"/>
  <c r="B134" i="4"/>
  <c r="C134" i="4"/>
  <c r="D134" i="4"/>
  <c r="E134" i="4"/>
  <c r="F134" i="4"/>
  <c r="I134" i="4"/>
  <c r="A135" i="4"/>
  <c r="B135" i="4"/>
  <c r="C135" i="4"/>
  <c r="D135" i="4"/>
  <c r="E135" i="4"/>
  <c r="F135" i="4"/>
  <c r="I135" i="4"/>
  <c r="A136" i="4"/>
  <c r="B136" i="4"/>
  <c r="C136" i="4"/>
  <c r="D136" i="4"/>
  <c r="E136" i="4"/>
  <c r="F136" i="4"/>
  <c r="I136" i="4"/>
  <c r="A137" i="4"/>
  <c r="B137" i="4"/>
  <c r="C137" i="4"/>
  <c r="D137" i="4"/>
  <c r="E137" i="4"/>
  <c r="F137" i="4"/>
  <c r="I137" i="4"/>
  <c r="A138" i="4"/>
  <c r="B138" i="4"/>
  <c r="C138" i="4"/>
  <c r="D138" i="4"/>
  <c r="E138" i="4"/>
  <c r="F138" i="4"/>
  <c r="I138" i="4"/>
  <c r="A139" i="4"/>
  <c r="B139" i="4"/>
  <c r="C139" i="4"/>
  <c r="D139" i="4"/>
  <c r="E139" i="4"/>
  <c r="F139" i="4"/>
  <c r="I139" i="4"/>
  <c r="A140" i="4"/>
  <c r="B140" i="4"/>
  <c r="C140" i="4"/>
  <c r="D140" i="4"/>
  <c r="E140" i="4"/>
  <c r="F140" i="4"/>
  <c r="I140" i="4"/>
  <c r="A141" i="4"/>
  <c r="B141" i="4"/>
  <c r="C141" i="4"/>
  <c r="D141" i="4"/>
  <c r="E141" i="4"/>
  <c r="F141" i="4"/>
  <c r="I141" i="4"/>
  <c r="A142" i="4"/>
  <c r="B142" i="4"/>
  <c r="C142" i="4"/>
  <c r="D142" i="4"/>
  <c r="E142" i="4"/>
  <c r="F142" i="4"/>
  <c r="I142" i="4"/>
  <c r="A143" i="4"/>
  <c r="B143" i="4"/>
  <c r="C143" i="4"/>
  <c r="D143" i="4"/>
  <c r="E143" i="4"/>
  <c r="F143" i="4"/>
  <c r="I143" i="4"/>
  <c r="A144" i="4"/>
  <c r="B144" i="4"/>
  <c r="C144" i="4"/>
  <c r="D144" i="4"/>
  <c r="E144" i="4"/>
  <c r="F144" i="4"/>
  <c r="I144" i="4"/>
  <c r="A145" i="4"/>
  <c r="B145" i="4"/>
  <c r="C145" i="4"/>
  <c r="D145" i="4"/>
  <c r="E145" i="4"/>
  <c r="F145" i="4"/>
  <c r="I145" i="4"/>
  <c r="A6" i="4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7" i="9"/>
  <c r="J138" i="9"/>
  <c r="J139" i="9"/>
  <c r="J140" i="9"/>
  <c r="J141" i="9"/>
  <c r="J142" i="9"/>
  <c r="J143" i="9"/>
  <c r="J144" i="9"/>
  <c r="J145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203" i="7"/>
  <c r="K119" i="4" l="1"/>
  <c r="M119" i="4" s="1"/>
  <c r="K95" i="4"/>
  <c r="M95" i="4" s="1"/>
  <c r="K131" i="4"/>
  <c r="M131" i="4" s="1"/>
  <c r="K83" i="4"/>
  <c r="K129" i="4"/>
  <c r="M129" i="4" s="1"/>
  <c r="K113" i="4"/>
  <c r="M113" i="4" s="1"/>
  <c r="K136" i="4"/>
  <c r="M136" i="4" s="1"/>
  <c r="K112" i="4"/>
  <c r="K100" i="4"/>
  <c r="M100" i="4" s="1"/>
  <c r="K88" i="4"/>
  <c r="M88" i="4" s="1"/>
  <c r="K134" i="4"/>
  <c r="M134" i="4" s="1"/>
  <c r="K122" i="4"/>
  <c r="M122" i="4" s="1"/>
  <c r="K110" i="4"/>
  <c r="M110" i="4" s="1"/>
  <c r="K98" i="4"/>
  <c r="M98" i="4" s="1"/>
  <c r="K86" i="4"/>
  <c r="M86" i="4" s="1"/>
  <c r="K120" i="4"/>
  <c r="M120" i="4" s="1"/>
  <c r="K96" i="4"/>
  <c r="K84" i="4"/>
  <c r="K106" i="4"/>
  <c r="K94" i="4"/>
  <c r="K82" i="4"/>
  <c r="M82" i="4" s="1"/>
  <c r="K135" i="4"/>
  <c r="K128" i="4"/>
  <c r="M128" i="4" s="1"/>
  <c r="K116" i="4"/>
  <c r="K104" i="4"/>
  <c r="K92" i="4"/>
  <c r="K80" i="4"/>
  <c r="M80" i="4" s="1"/>
  <c r="K107" i="4"/>
  <c r="M107" i="4" s="1"/>
  <c r="K132" i="4"/>
  <c r="M132" i="4" s="1"/>
  <c r="K124" i="4"/>
  <c r="M124" i="4" s="1"/>
  <c r="K108" i="4"/>
  <c r="K125" i="4"/>
  <c r="K117" i="4"/>
  <c r="K101" i="4"/>
  <c r="M101" i="4" s="1"/>
  <c r="K89" i="4"/>
  <c r="K123" i="4"/>
  <c r="M123" i="4" s="1"/>
  <c r="M112" i="4"/>
  <c r="K105" i="4"/>
  <c r="K93" i="4"/>
  <c r="K81" i="4"/>
  <c r="K127" i="4"/>
  <c r="K115" i="4"/>
  <c r="K103" i="4"/>
  <c r="K91" i="4"/>
  <c r="K79" i="4"/>
  <c r="M79" i="4" s="1"/>
  <c r="K130" i="4"/>
  <c r="K118" i="4"/>
  <c r="K70" i="4"/>
  <c r="K111" i="4"/>
  <c r="K99" i="4"/>
  <c r="K87" i="4"/>
  <c r="K133" i="4"/>
  <c r="K121" i="4"/>
  <c r="K109" i="4"/>
  <c r="K97" i="4"/>
  <c r="K85" i="4"/>
  <c r="K126" i="4"/>
  <c r="K114" i="4"/>
  <c r="K102" i="4"/>
  <c r="K90" i="4"/>
  <c r="M83" i="4"/>
  <c r="J6" i="9"/>
  <c r="B166" i="4"/>
  <c r="L4" i="9"/>
  <c r="M106" i="4" l="1"/>
  <c r="M92" i="4"/>
  <c r="M96" i="4"/>
  <c r="M104" i="4"/>
  <c r="M116" i="4"/>
  <c r="M84" i="4"/>
  <c r="M117" i="4"/>
  <c r="M135" i="4"/>
  <c r="M125" i="4"/>
  <c r="M108" i="4"/>
  <c r="M94" i="4"/>
  <c r="M89" i="4"/>
  <c r="M126" i="4"/>
  <c r="M111" i="4"/>
  <c r="M91" i="4"/>
  <c r="M81" i="4"/>
  <c r="M93" i="4"/>
  <c r="M115" i="4"/>
  <c r="M127" i="4"/>
  <c r="M114" i="4"/>
  <c r="M85" i="4"/>
  <c r="M109" i="4"/>
  <c r="M103" i="4"/>
  <c r="M102" i="4"/>
  <c r="M97" i="4"/>
  <c r="M105" i="4"/>
  <c r="M118" i="4"/>
  <c r="M121" i="4"/>
  <c r="M133" i="4"/>
  <c r="M87" i="4"/>
  <c r="M90" i="4"/>
  <c r="M99" i="4"/>
  <c r="M130" i="4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203" i="7"/>
  <c r="K145" i="4" l="1"/>
  <c r="B6" i="4"/>
  <c r="C6" i="4"/>
  <c r="D6" i="4"/>
  <c r="E6" i="4"/>
  <c r="F6" i="4"/>
  <c r="K161" i="4" l="1"/>
  <c r="K149" i="4"/>
  <c r="K137" i="4"/>
  <c r="K143" i="4"/>
  <c r="K147" i="4"/>
  <c r="K139" i="4"/>
  <c r="K148" i="4"/>
  <c r="K44" i="4"/>
  <c r="K157" i="4"/>
  <c r="K141" i="4"/>
  <c r="K61" i="4"/>
  <c r="K163" i="4"/>
  <c r="K155" i="4"/>
  <c r="K34" i="4"/>
  <c r="K153" i="4"/>
  <c r="K17" i="4"/>
  <c r="K64" i="4"/>
  <c r="K159" i="4"/>
  <c r="K151" i="4"/>
  <c r="K158" i="4"/>
  <c r="K78" i="4"/>
  <c r="K146" i="4"/>
  <c r="K75" i="4"/>
  <c r="K68" i="4"/>
  <c r="K58" i="4"/>
  <c r="K41" i="4"/>
  <c r="K38" i="4"/>
  <c r="K31" i="4"/>
  <c r="K24" i="4"/>
  <c r="K21" i="4"/>
  <c r="K14" i="4"/>
  <c r="K10" i="4"/>
  <c r="K51" i="4"/>
  <c r="K160" i="4"/>
  <c r="K138" i="4"/>
  <c r="K74" i="4"/>
  <c r="K57" i="4"/>
  <c r="K54" i="4"/>
  <c r="K47" i="4"/>
  <c r="K40" i="4"/>
  <c r="K37" i="4"/>
  <c r="K27" i="4"/>
  <c r="K20" i="4"/>
  <c r="K13" i="4"/>
  <c r="K9" i="4"/>
  <c r="K150" i="4"/>
  <c r="K140" i="4"/>
  <c r="K77" i="4"/>
  <c r="K67" i="4"/>
  <c r="K60" i="4"/>
  <c r="K50" i="4"/>
  <c r="K33" i="4"/>
  <c r="K30" i="4"/>
  <c r="K23" i="4"/>
  <c r="K16" i="4"/>
  <c r="K162" i="4"/>
  <c r="K152" i="4"/>
  <c r="K73" i="4"/>
  <c r="K63" i="4"/>
  <c r="K56" i="4"/>
  <c r="K53" i="4"/>
  <c r="K43" i="4"/>
  <c r="K36" i="4"/>
  <c r="K26" i="4"/>
  <c r="K12" i="4"/>
  <c r="K8" i="4"/>
  <c r="K142" i="4"/>
  <c r="K76" i="4"/>
  <c r="K66" i="4"/>
  <c r="K49" i="4"/>
  <c r="K46" i="4"/>
  <c r="K39" i="4"/>
  <c r="K32" i="4"/>
  <c r="K29" i="4"/>
  <c r="K19" i="4"/>
  <c r="K15" i="4"/>
  <c r="K154" i="4"/>
  <c r="K144" i="4"/>
  <c r="K72" i="4"/>
  <c r="K69" i="4"/>
  <c r="K59" i="4"/>
  <c r="K52" i="4"/>
  <c r="K42" i="4"/>
  <c r="K25" i="4"/>
  <c r="K22" i="4"/>
  <c r="K7" i="4"/>
  <c r="K156" i="4"/>
  <c r="K65" i="4"/>
  <c r="K62" i="4"/>
  <c r="K55" i="4"/>
  <c r="K48" i="4"/>
  <c r="K45" i="4"/>
  <c r="K35" i="4"/>
  <c r="K28" i="4"/>
  <c r="K18" i="4"/>
  <c r="A1" i="9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2" i="8"/>
  <c r="H2" i="4" l="1"/>
  <c r="I2" i="4"/>
  <c r="M2" i="4"/>
  <c r="K2" i="4" l="1"/>
  <c r="A1" i="4" l="1"/>
  <c r="D2" i="4" l="1"/>
  <c r="D3" i="4"/>
  <c r="I6" i="4"/>
  <c r="C304" i="7" l="1"/>
  <c r="C319" i="7"/>
  <c r="C317" i="7"/>
  <c r="C315" i="7"/>
  <c r="C302" i="7"/>
  <c r="C300" i="7"/>
  <c r="C291" i="7"/>
  <c r="C289" i="7"/>
  <c r="C278" i="7"/>
  <c r="C276" i="7"/>
  <c r="C268" i="7"/>
  <c r="C267" i="7"/>
  <c r="C263" i="7"/>
  <c r="C262" i="7"/>
  <c r="C257" i="7"/>
  <c r="C256" i="7"/>
  <c r="C253" i="7"/>
  <c r="C252" i="7"/>
  <c r="C248" i="7"/>
  <c r="C247" i="7"/>
  <c r="C244" i="7"/>
  <c r="C240" i="7"/>
  <c r="C237" i="7"/>
  <c r="C236" i="7"/>
  <c r="C232" i="7"/>
  <c r="C231" i="7"/>
  <c r="C227" i="7"/>
  <c r="C223" i="7"/>
  <c r="C222" i="7"/>
  <c r="C219" i="7"/>
  <c r="C218" i="7"/>
  <c r="C217" i="7"/>
  <c r="C213" i="7"/>
  <c r="C210" i="7"/>
  <c r="C209" i="7"/>
  <c r="C205" i="7"/>
  <c r="C206" i="7" l="1"/>
  <c r="C211" i="7"/>
  <c r="C228" i="7"/>
  <c r="C233" i="7"/>
  <c r="C241" i="7"/>
  <c r="C245" i="7"/>
  <c r="C254" i="7"/>
  <c r="C258" i="7"/>
  <c r="C269" i="7"/>
  <c r="C281" i="7"/>
  <c r="C293" i="7"/>
  <c r="C321" i="7"/>
  <c r="C214" i="7"/>
  <c r="C220" i="7"/>
  <c r="C224" i="7"/>
  <c r="C238" i="7"/>
  <c r="C249" i="7"/>
  <c r="C259" i="7"/>
  <c r="C264" i="7"/>
  <c r="C271" i="7"/>
  <c r="C283" i="7"/>
  <c r="C308" i="7"/>
  <c r="C203" i="7"/>
  <c r="C207" i="7"/>
  <c r="C215" i="7"/>
  <c r="C225" i="7"/>
  <c r="C229" i="7"/>
  <c r="C239" i="7"/>
  <c r="C242" i="7"/>
  <c r="C250" i="7"/>
  <c r="C265" i="7"/>
  <c r="C285" i="7"/>
  <c r="C310" i="7"/>
  <c r="C324" i="7"/>
  <c r="C208" i="7"/>
  <c r="C221" i="7"/>
  <c r="C230" i="7"/>
  <c r="C234" i="7"/>
  <c r="C243" i="7"/>
  <c r="C255" i="7"/>
  <c r="C260" i="7"/>
  <c r="C273" i="7"/>
  <c r="C286" i="7"/>
  <c r="C296" i="7"/>
  <c r="C204" i="7"/>
  <c r="C212" i="7"/>
  <c r="C216" i="7"/>
  <c r="C226" i="7"/>
  <c r="C235" i="7"/>
  <c r="C246" i="7"/>
  <c r="C251" i="7"/>
  <c r="C261" i="7"/>
  <c r="C266" i="7"/>
  <c r="C275" i="7"/>
  <c r="C288" i="7"/>
  <c r="C298" i="7"/>
  <c r="C313" i="7"/>
  <c r="C325" i="7"/>
  <c r="C270" i="7"/>
  <c r="C272" i="7"/>
  <c r="C274" i="7"/>
  <c r="C277" i="7"/>
  <c r="C279" i="7"/>
  <c r="C280" i="7"/>
  <c r="C282" i="7"/>
  <c r="C284" i="7"/>
  <c r="C287" i="7"/>
  <c r="C290" i="7"/>
  <c r="C292" i="7"/>
  <c r="C294" i="7"/>
  <c r="C295" i="7"/>
  <c r="C297" i="7"/>
  <c r="C299" i="7"/>
  <c r="C301" i="7"/>
  <c r="C303" i="7"/>
  <c r="C305" i="7"/>
  <c r="C306" i="7"/>
  <c r="C307" i="7"/>
  <c r="C309" i="7"/>
  <c r="C311" i="7"/>
  <c r="C312" i="7"/>
  <c r="C314" i="7"/>
  <c r="C316" i="7"/>
  <c r="C318" i="7"/>
  <c r="C320" i="7"/>
  <c r="C322" i="7"/>
  <c r="C323" i="7"/>
  <c r="H3" i="9" l="1"/>
  <c r="D4" i="9"/>
  <c r="D4" i="4" s="1"/>
  <c r="L146" i="4" l="1" a="1"/>
  <c r="L146" i="4" s="1"/>
  <c r="L150" i="4" a="1"/>
  <c r="L150" i="4" s="1"/>
  <c r="L154" i="4" a="1"/>
  <c r="L154" i="4" s="1"/>
  <c r="L158" i="4" a="1"/>
  <c r="L158" i="4" s="1"/>
  <c r="L162" i="4" a="1"/>
  <c r="L162" i="4" s="1"/>
  <c r="L151" i="4" a="1"/>
  <c r="L151" i="4" s="1"/>
  <c r="L155" i="4" a="1"/>
  <c r="L155" i="4" s="1"/>
  <c r="L163" i="4" a="1"/>
  <c r="L163" i="4" s="1"/>
  <c r="L147" i="4" a="1"/>
  <c r="L147" i="4" s="1"/>
  <c r="L148" i="4" a="1"/>
  <c r="L148" i="4" s="1"/>
  <c r="L149" i="4" a="1"/>
  <c r="L149" i="4" s="1"/>
  <c r="L153" i="4" a="1"/>
  <c r="L153" i="4" s="1"/>
  <c r="L157" i="4" a="1"/>
  <c r="L157" i="4" s="1"/>
  <c r="L161" i="4" a="1"/>
  <c r="L161" i="4" s="1"/>
  <c r="L159" i="4" a="1"/>
  <c r="L159" i="4" s="1"/>
  <c r="L152" i="4" a="1"/>
  <c r="L152" i="4" s="1"/>
  <c r="L156" i="4" a="1"/>
  <c r="L156" i="4" s="1"/>
  <c r="L160" i="4" a="1"/>
  <c r="L160" i="4" s="1"/>
  <c r="L145" i="4" a="1"/>
  <c r="L145" i="4" s="1"/>
  <c r="L129" i="4" a="1"/>
  <c r="L129" i="4" s="1"/>
  <c r="G129" i="4" s="1"/>
  <c r="L89" i="4" a="1"/>
  <c r="L89" i="4" s="1"/>
  <c r="L110" i="4" a="1"/>
  <c r="L110" i="4" s="1"/>
  <c r="L90" i="4" a="1"/>
  <c r="L90" i="4" s="1"/>
  <c r="L139" i="4" a="1"/>
  <c r="L139" i="4" s="1"/>
  <c r="G139" i="4" s="1"/>
  <c r="L123" i="4" a="1"/>
  <c r="L123" i="4" s="1"/>
  <c r="L107" i="4" a="1"/>
  <c r="L107" i="4" s="1"/>
  <c r="L91" i="4" a="1"/>
  <c r="L91" i="4" s="1"/>
  <c r="L121" i="4" a="1"/>
  <c r="L121" i="4" s="1"/>
  <c r="G121" i="4" s="1"/>
  <c r="L105" i="4" a="1"/>
  <c r="L105" i="4" s="1"/>
  <c r="L142" i="4" a="1"/>
  <c r="L142" i="4" s="1"/>
  <c r="L122" i="4" a="1"/>
  <c r="L122" i="4" s="1"/>
  <c r="L136" i="4" a="1"/>
  <c r="L136" i="4" s="1"/>
  <c r="G136" i="4" s="1"/>
  <c r="L120" i="4" a="1"/>
  <c r="L120" i="4" s="1"/>
  <c r="L104" i="4" a="1"/>
  <c r="L104" i="4" s="1"/>
  <c r="L88" i="4" a="1"/>
  <c r="L88" i="4" s="1"/>
  <c r="L141" i="4" a="1"/>
  <c r="L141" i="4" s="1"/>
  <c r="G141" i="4" s="1"/>
  <c r="L125" i="4" a="1"/>
  <c r="L125" i="4" s="1"/>
  <c r="L134" i="4" a="1"/>
  <c r="L134" i="4" s="1"/>
  <c r="G134" i="4" s="1"/>
  <c r="L102" i="4" a="1"/>
  <c r="L102" i="4" s="1"/>
  <c r="L86" i="4" a="1"/>
  <c r="L86" i="4" s="1"/>
  <c r="G86" i="4" s="1"/>
  <c r="L135" i="4" a="1"/>
  <c r="L135" i="4" s="1"/>
  <c r="G135" i="4" s="1"/>
  <c r="L119" i="4" a="1"/>
  <c r="L119" i="4" s="1"/>
  <c r="L103" i="4" a="1"/>
  <c r="L103" i="4" s="1"/>
  <c r="L87" i="4" a="1"/>
  <c r="L87" i="4" s="1"/>
  <c r="G87" i="4" s="1"/>
  <c r="L117" i="4" a="1"/>
  <c r="L117" i="4" s="1"/>
  <c r="L101" i="4" a="1"/>
  <c r="L101" i="4" s="1"/>
  <c r="L138" i="4" a="1"/>
  <c r="L138" i="4" s="1"/>
  <c r="L106" i="4" a="1"/>
  <c r="L106" i="4" s="1"/>
  <c r="G106" i="4" s="1"/>
  <c r="L132" i="4" a="1"/>
  <c r="L132" i="4" s="1"/>
  <c r="L116" i="4" a="1"/>
  <c r="L116" i="4" s="1"/>
  <c r="L100" i="4" a="1"/>
  <c r="L100" i="4" s="1"/>
  <c r="L84" i="4" a="1"/>
  <c r="L84" i="4" s="1"/>
  <c r="G84" i="4" s="1"/>
  <c r="L137" i="4" a="1"/>
  <c r="L137" i="4" s="1"/>
  <c r="G137" i="4" s="1"/>
  <c r="L97" i="4" a="1"/>
  <c r="L97" i="4" s="1"/>
  <c r="L118" i="4" a="1"/>
  <c r="L118" i="4" s="1"/>
  <c r="L98" i="4" a="1"/>
  <c r="L98" i="4" s="1"/>
  <c r="G98" i="4" s="1"/>
  <c r="L82" i="4" a="1"/>
  <c r="L82" i="4" s="1"/>
  <c r="G82" i="4" s="1"/>
  <c r="L131" i="4" a="1"/>
  <c r="L131" i="4" s="1"/>
  <c r="L115" i="4" a="1"/>
  <c r="L115" i="4" s="1"/>
  <c r="L99" i="4" a="1"/>
  <c r="L99" i="4" s="1"/>
  <c r="G99" i="4" s="1"/>
  <c r="L83" i="4" a="1"/>
  <c r="L83" i="4" s="1"/>
  <c r="L113" i="4" a="1"/>
  <c r="L113" i="4" s="1"/>
  <c r="L85" i="4" a="1"/>
  <c r="L85" i="4" s="1"/>
  <c r="L130" i="4" a="1"/>
  <c r="L130" i="4" s="1"/>
  <c r="G130" i="4" s="1"/>
  <c r="L144" i="4" a="1"/>
  <c r="L144" i="4" s="1"/>
  <c r="G144" i="4" s="1"/>
  <c r="L128" i="4" a="1"/>
  <c r="L128" i="4" s="1"/>
  <c r="L112" i="4" a="1"/>
  <c r="L112" i="4" s="1"/>
  <c r="L96" i="4" a="1"/>
  <c r="L96" i="4" s="1"/>
  <c r="G96" i="4" s="1"/>
  <c r="L80" i="4" a="1"/>
  <c r="L80" i="4" s="1"/>
  <c r="L93" i="4" a="1"/>
  <c r="L93" i="4" s="1"/>
  <c r="L114" i="4" a="1"/>
  <c r="L114" i="4" s="1"/>
  <c r="L143" i="4" a="1"/>
  <c r="L143" i="4" s="1"/>
  <c r="G143" i="4" s="1"/>
  <c r="L111" i="4" a="1"/>
  <c r="L111" i="4" s="1"/>
  <c r="G111" i="4" s="1"/>
  <c r="L79" i="4" a="1"/>
  <c r="L79" i="4" s="1"/>
  <c r="L81" i="4" a="1"/>
  <c r="L81" i="4" s="1"/>
  <c r="L140" i="4" a="1"/>
  <c r="L140" i="4" s="1"/>
  <c r="G140" i="4" s="1"/>
  <c r="L92" i="4" a="1"/>
  <c r="L92" i="4" s="1"/>
  <c r="G92" i="4" s="1"/>
  <c r="L133" i="4" a="1"/>
  <c r="L133" i="4" s="1"/>
  <c r="L94" i="4" a="1"/>
  <c r="L94" i="4" s="1"/>
  <c r="L127" i="4" a="1"/>
  <c r="L127" i="4" s="1"/>
  <c r="G127" i="4" s="1"/>
  <c r="L95" i="4" a="1"/>
  <c r="L95" i="4" s="1"/>
  <c r="G95" i="4" s="1"/>
  <c r="L109" i="4" a="1"/>
  <c r="L109" i="4" s="1"/>
  <c r="G109" i="4" s="1"/>
  <c r="L126" i="4" a="1"/>
  <c r="L126" i="4" s="1"/>
  <c r="L124" i="4" a="1"/>
  <c r="L124" i="4" s="1"/>
  <c r="G124" i="4" s="1"/>
  <c r="L108" i="4" a="1"/>
  <c r="L108" i="4" s="1"/>
  <c r="L78" i="4" a="1"/>
  <c r="L78" i="4" s="1"/>
  <c r="G78" i="4" s="1"/>
  <c r="L76" i="4" a="1"/>
  <c r="L76" i="4" s="1"/>
  <c r="G76" i="4" s="1"/>
  <c r="L70" i="4" a="1"/>
  <c r="L70" i="4" s="1"/>
  <c r="G138" i="4"/>
  <c r="L71" i="4" a="1"/>
  <c r="L71" i="4" s="1"/>
  <c r="G71" i="4" s="1"/>
  <c r="G145" i="4"/>
  <c r="L72" i="4" a="1"/>
  <c r="L72" i="4" s="1"/>
  <c r="G72" i="4" s="1"/>
  <c r="L73" i="4" a="1"/>
  <c r="L73" i="4" s="1"/>
  <c r="G73" i="4" s="1"/>
  <c r="L74" i="4" a="1"/>
  <c r="L74" i="4" s="1"/>
  <c r="G74" i="4" s="1"/>
  <c r="G142" i="4"/>
  <c r="L75" i="4" a="1"/>
  <c r="L75" i="4" s="1"/>
  <c r="G75" i="4" s="1"/>
  <c r="L77" i="4" a="1"/>
  <c r="L77" i="4" s="1"/>
  <c r="G77" i="4" s="1"/>
  <c r="L10" i="4" a="1"/>
  <c r="L10" i="4" s="1"/>
  <c r="G10" i="4" s="1"/>
  <c r="L14" i="4" a="1"/>
  <c r="L14" i="4" s="1"/>
  <c r="G14" i="4" s="1"/>
  <c r="L21" i="4" a="1"/>
  <c r="L21" i="4" s="1"/>
  <c r="G21" i="4" s="1"/>
  <c r="L24" i="4" a="1"/>
  <c r="L24" i="4" s="1"/>
  <c r="G24" i="4" s="1"/>
  <c r="L31" i="4" a="1"/>
  <c r="L31" i="4" s="1"/>
  <c r="G31" i="4" s="1"/>
  <c r="L38" i="4" a="1"/>
  <c r="L38" i="4" s="1"/>
  <c r="G38" i="4" s="1"/>
  <c r="L41" i="4" a="1"/>
  <c r="L41" i="4" s="1"/>
  <c r="G41" i="4" s="1"/>
  <c r="L58" i="4" a="1"/>
  <c r="L58" i="4" s="1"/>
  <c r="G58" i="4" s="1"/>
  <c r="L68" i="4" a="1"/>
  <c r="L68" i="4" s="1"/>
  <c r="G68" i="4" s="1"/>
  <c r="G85" i="4"/>
  <c r="G88" i="4"/>
  <c r="G102" i="4"/>
  <c r="G105" i="4"/>
  <c r="G131" i="4"/>
  <c r="L18" i="4" a="1"/>
  <c r="L18" i="4" s="1"/>
  <c r="G18" i="4" s="1"/>
  <c r="L28" i="4" a="1"/>
  <c r="L28" i="4" s="1"/>
  <c r="G28" i="4" s="1"/>
  <c r="L35" i="4" a="1"/>
  <c r="L35" i="4" s="1"/>
  <c r="G35" i="4" s="1"/>
  <c r="L45" i="4" a="1"/>
  <c r="L45" i="4" s="1"/>
  <c r="G45" i="4" s="1"/>
  <c r="L48" i="4" a="1"/>
  <c r="L48" i="4" s="1"/>
  <c r="G48" i="4" s="1"/>
  <c r="L55" i="4" a="1"/>
  <c r="L55" i="4" s="1"/>
  <c r="G55" i="4" s="1"/>
  <c r="L62" i="4" a="1"/>
  <c r="L62" i="4" s="1"/>
  <c r="G62" i="4" s="1"/>
  <c r="L65" i="4" a="1"/>
  <c r="L65" i="4" s="1"/>
  <c r="G65" i="4" s="1"/>
  <c r="G112" i="4"/>
  <c r="G119" i="4"/>
  <c r="L7" i="4" a="1"/>
  <c r="L7" i="4" s="1"/>
  <c r="G7" i="4" s="1"/>
  <c r="L11" i="4" a="1"/>
  <c r="L11" i="4" s="1"/>
  <c r="L22" i="4" a="1"/>
  <c r="L22" i="4" s="1"/>
  <c r="G22" i="4" s="1"/>
  <c r="L25" i="4" a="1"/>
  <c r="L25" i="4" s="1"/>
  <c r="G25" i="4" s="1"/>
  <c r="L42" i="4" a="1"/>
  <c r="L42" i="4" s="1"/>
  <c r="G42" i="4" s="1"/>
  <c r="L52" i="4" a="1"/>
  <c r="L52" i="4" s="1"/>
  <c r="G52" i="4" s="1"/>
  <c r="L59" i="4" a="1"/>
  <c r="L59" i="4" s="1"/>
  <c r="G59" i="4" s="1"/>
  <c r="L69" i="4" a="1"/>
  <c r="L69" i="4" s="1"/>
  <c r="G69" i="4" s="1"/>
  <c r="G79" i="4"/>
  <c r="G89" i="4"/>
  <c r="G116" i="4"/>
  <c r="G122" i="4"/>
  <c r="L15" i="4" a="1"/>
  <c r="L15" i="4" s="1"/>
  <c r="G15" i="4" s="1"/>
  <c r="L19" i="4" a="1"/>
  <c r="L19" i="4" s="1"/>
  <c r="G19" i="4" s="1"/>
  <c r="L29" i="4" a="1"/>
  <c r="L29" i="4" s="1"/>
  <c r="G29" i="4" s="1"/>
  <c r="L32" i="4" a="1"/>
  <c r="L32" i="4" s="1"/>
  <c r="G32" i="4" s="1"/>
  <c r="L39" i="4" a="1"/>
  <c r="L39" i="4" s="1"/>
  <c r="G39" i="4" s="1"/>
  <c r="L46" i="4" a="1"/>
  <c r="L46" i="4" s="1"/>
  <c r="G46" i="4" s="1"/>
  <c r="L49" i="4" a="1"/>
  <c r="L49" i="4" s="1"/>
  <c r="G49" i="4" s="1"/>
  <c r="L66" i="4" a="1"/>
  <c r="L66" i="4" s="1"/>
  <c r="G66" i="4" s="1"/>
  <c r="G83" i="4"/>
  <c r="G93" i="4"/>
  <c r="G103" i="4"/>
  <c r="G110" i="4"/>
  <c r="G113" i="4"/>
  <c r="G132" i="4"/>
  <c r="L8" i="4" a="1"/>
  <c r="L8" i="4" s="1"/>
  <c r="G8" i="4" s="1"/>
  <c r="L12" i="4" a="1"/>
  <c r="L12" i="4" s="1"/>
  <c r="G12" i="4" s="1"/>
  <c r="L26" i="4" a="1"/>
  <c r="L26" i="4" s="1"/>
  <c r="G26" i="4" s="1"/>
  <c r="L36" i="4" a="1"/>
  <c r="L36" i="4" s="1"/>
  <c r="G36" i="4" s="1"/>
  <c r="L43" i="4" a="1"/>
  <c r="L43" i="4" s="1"/>
  <c r="G43" i="4" s="1"/>
  <c r="L53" i="4" a="1"/>
  <c r="L53" i="4" s="1"/>
  <c r="G53" i="4" s="1"/>
  <c r="L56" i="4" a="1"/>
  <c r="L56" i="4" s="1"/>
  <c r="G56" i="4" s="1"/>
  <c r="L63" i="4" a="1"/>
  <c r="L63" i="4" s="1"/>
  <c r="G63" i="4" s="1"/>
  <c r="G90" i="4"/>
  <c r="G100" i="4"/>
  <c r="G107" i="4"/>
  <c r="G117" i="4"/>
  <c r="G120" i="4"/>
  <c r="G101" i="4"/>
  <c r="L16" i="4" a="1"/>
  <c r="L16" i="4" s="1"/>
  <c r="G16" i="4" s="1"/>
  <c r="L23" i="4" a="1"/>
  <c r="L23" i="4" s="1"/>
  <c r="G23" i="4" s="1"/>
  <c r="L30" i="4" a="1"/>
  <c r="L30" i="4" s="1"/>
  <c r="G30" i="4" s="1"/>
  <c r="L33" i="4" a="1"/>
  <c r="L33" i="4" s="1"/>
  <c r="G33" i="4" s="1"/>
  <c r="L50" i="4" a="1"/>
  <c r="L50" i="4" s="1"/>
  <c r="G50" i="4" s="1"/>
  <c r="L60" i="4" a="1"/>
  <c r="L60" i="4" s="1"/>
  <c r="G60" i="4" s="1"/>
  <c r="L67" i="4" a="1"/>
  <c r="L67" i="4" s="1"/>
  <c r="G67" i="4" s="1"/>
  <c r="G80" i="4"/>
  <c r="G94" i="4"/>
  <c r="G97" i="4"/>
  <c r="G114" i="4"/>
  <c r="G125" i="4"/>
  <c r="L9" i="4" a="1"/>
  <c r="L9" i="4" s="1"/>
  <c r="G9" i="4" s="1"/>
  <c r="L13" i="4" a="1"/>
  <c r="L13" i="4" s="1"/>
  <c r="L20" i="4" a="1"/>
  <c r="L20" i="4" s="1"/>
  <c r="G20" i="4" s="1"/>
  <c r="L27" i="4" a="1"/>
  <c r="L27" i="4" s="1"/>
  <c r="G27" i="4" s="1"/>
  <c r="L37" i="4" a="1"/>
  <c r="L37" i="4" s="1"/>
  <c r="G37" i="4" s="1"/>
  <c r="L40" i="4" a="1"/>
  <c r="L40" i="4" s="1"/>
  <c r="G40" i="4" s="1"/>
  <c r="L47" i="4" a="1"/>
  <c r="L47" i="4" s="1"/>
  <c r="G47" i="4" s="1"/>
  <c r="L54" i="4" a="1"/>
  <c r="L54" i="4" s="1"/>
  <c r="G54" i="4" s="1"/>
  <c r="L57" i="4" a="1"/>
  <c r="L57" i="4" s="1"/>
  <c r="G57" i="4" s="1"/>
  <c r="G91" i="4"/>
  <c r="G104" i="4"/>
  <c r="G123" i="4"/>
  <c r="G128" i="4"/>
  <c r="L17" i="4" a="1"/>
  <c r="L17" i="4" s="1"/>
  <c r="G17" i="4" s="1"/>
  <c r="L34" i="4" a="1"/>
  <c r="L34" i="4" s="1"/>
  <c r="G34" i="4" s="1"/>
  <c r="L44" i="4" a="1"/>
  <c r="L44" i="4" s="1"/>
  <c r="G44" i="4" s="1"/>
  <c r="L51" i="4" a="1"/>
  <c r="L51" i="4" s="1"/>
  <c r="G51" i="4" s="1"/>
  <c r="L61" i="4" a="1"/>
  <c r="L61" i="4" s="1"/>
  <c r="G61" i="4" s="1"/>
  <c r="L64" i="4" a="1"/>
  <c r="L64" i="4" s="1"/>
  <c r="G64" i="4" s="1"/>
  <c r="G81" i="4"/>
  <c r="G108" i="4"/>
  <c r="G115" i="4"/>
  <c r="G118" i="4"/>
  <c r="G126" i="4"/>
  <c r="G133" i="4"/>
  <c r="L6" i="4" a="1"/>
  <c r="L6" i="4" s="1"/>
  <c r="K6" i="4"/>
  <c r="G13" i="4" l="1"/>
  <c r="M13" i="4"/>
  <c r="G11" i="4"/>
  <c r="M11" i="4"/>
  <c r="M70" i="4"/>
  <c r="G70" i="4"/>
  <c r="M6" i="4"/>
  <c r="M40" i="4"/>
  <c r="M8" i="4"/>
  <c r="M7" i="4"/>
  <c r="M145" i="4"/>
  <c r="M69" i="4"/>
  <c r="M64" i="4"/>
  <c r="M27" i="4"/>
  <c r="M50" i="4"/>
  <c r="M138" i="4"/>
  <c r="M56" i="4"/>
  <c r="M149" i="4"/>
  <c r="M29" i="4"/>
  <c r="M59" i="4"/>
  <c r="M151" i="4"/>
  <c r="M18" i="4"/>
  <c r="M38" i="4"/>
  <c r="M78" i="4"/>
  <c r="M147" i="4"/>
  <c r="M72" i="4"/>
  <c r="M63" i="4"/>
  <c r="M20" i="4"/>
  <c r="M33" i="4"/>
  <c r="M53" i="4"/>
  <c r="M142" i="4"/>
  <c r="M19" i="4"/>
  <c r="M52" i="4"/>
  <c r="M141" i="4"/>
  <c r="M65" i="4"/>
  <c r="M163" i="4"/>
  <c r="M31" i="4"/>
  <c r="M140" i="4"/>
  <c r="M35" i="4"/>
  <c r="M156" i="4"/>
  <c r="M41" i="4"/>
  <c r="M51" i="4"/>
  <c r="M30" i="4"/>
  <c r="M43" i="4"/>
  <c r="M76" i="4"/>
  <c r="M15" i="4"/>
  <c r="M42" i="4"/>
  <c r="M62" i="4"/>
  <c r="M153" i="4"/>
  <c r="M24" i="4"/>
  <c r="M67" i="4"/>
  <c r="M39" i="4"/>
  <c r="M37" i="4"/>
  <c r="M159" i="4"/>
  <c r="M28" i="4"/>
  <c r="M61" i="4"/>
  <c r="G6" i="4"/>
  <c r="M44" i="4"/>
  <c r="M57" i="4"/>
  <c r="M9" i="4"/>
  <c r="M23" i="4"/>
  <c r="M74" i="4"/>
  <c r="M36" i="4"/>
  <c r="M66" i="4"/>
  <c r="M161" i="4"/>
  <c r="M25" i="4"/>
  <c r="M55" i="4"/>
  <c r="M146" i="4"/>
  <c r="M21" i="4"/>
  <c r="M143" i="4"/>
  <c r="M155" i="4"/>
  <c r="M139" i="4"/>
  <c r="M58" i="4"/>
  <c r="M60" i="4"/>
  <c r="M32" i="4"/>
  <c r="M34" i="4"/>
  <c r="M54" i="4"/>
  <c r="M157" i="4"/>
  <c r="M16" i="4"/>
  <c r="M162" i="4"/>
  <c r="M26" i="4"/>
  <c r="M49" i="4"/>
  <c r="M154" i="4"/>
  <c r="M22" i="4"/>
  <c r="M48" i="4"/>
  <c r="M75" i="4"/>
  <c r="M14" i="4"/>
  <c r="M73" i="4"/>
  <c r="M71" i="4"/>
  <c r="M137" i="4"/>
  <c r="M158" i="4"/>
  <c r="M148" i="4"/>
  <c r="M17" i="4"/>
  <c r="M47" i="4"/>
  <c r="M150" i="4"/>
  <c r="M77" i="4"/>
  <c r="M160" i="4"/>
  <c r="M152" i="4"/>
  <c r="M12" i="4"/>
  <c r="M46" i="4"/>
  <c r="M144" i="4"/>
  <c r="M45" i="4"/>
  <c r="M68" i="4"/>
  <c r="M10" i="4"/>
  <c r="M164" i="4" l="1"/>
  <c r="M2" i="9" s="1"/>
  <c r="G164" i="4"/>
  <c r="M1" i="9" s="1"/>
  <c r="M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HEIDRICH, BOBBY (ROBERT)</author>
  </authors>
  <commentList>
    <comment ref="F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HEIDRICH, BOBBY (ROBERT):</t>
        </r>
        <r>
          <rPr>
            <sz val="9"/>
            <color indexed="81"/>
            <rFont val="Tahoma"/>
            <family val="2"/>
          </rPr>
          <t xml:space="preserve">
Populate Original Qty's Given on PO.
</t>
        </r>
      </text>
    </comment>
    <comment ref="H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HEIDRICH, BOBBY (ROBERT):</t>
        </r>
        <r>
          <rPr>
            <sz val="9"/>
            <color indexed="81"/>
            <rFont val="Tahoma"/>
            <family val="2"/>
          </rPr>
          <t xml:space="preserve">
Insert Totals from job or from the final Configurator Sheet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HEIDRICH, BOBBY (ROBERT)</author>
  </authors>
  <commentList>
    <comment ref="F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HEIDRICH, BOBBY (ROBERT):</t>
        </r>
        <r>
          <rPr>
            <sz val="9"/>
            <color indexed="81"/>
            <rFont val="Tahoma"/>
            <family val="2"/>
          </rPr>
          <t xml:space="preserve">
Populate Original Qty's Given on PO.
</t>
        </r>
      </text>
    </comment>
    <comment ref="I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HEIDRICH, BOBBY (ROBERT):</t>
        </r>
        <r>
          <rPr>
            <sz val="9"/>
            <color indexed="81"/>
            <rFont val="Tahoma"/>
            <family val="2"/>
          </rPr>
          <t xml:space="preserve">
Insert Totals from job or from the final Configurator Sheet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HEIDRICH, BOBBY (ROBERT)</author>
  </authors>
  <commentList>
    <comment ref="E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HEIDRICH, BOBBY (ROBERT):</t>
        </r>
        <r>
          <rPr>
            <sz val="9"/>
            <color indexed="81"/>
            <rFont val="Tahoma"/>
            <family val="2"/>
          </rPr>
          <t xml:space="preserve">
Populate Original Qty's Given on PO.
</t>
        </r>
      </text>
    </comment>
  </commentList>
</comments>
</file>

<file path=xl/sharedStrings.xml><?xml version="1.0" encoding="utf-8"?>
<sst xmlns="http://schemas.openxmlformats.org/spreadsheetml/2006/main" count="8050" uniqueCount="1824">
  <si>
    <t>Item Number</t>
  </si>
  <si>
    <t>Item Description</t>
  </si>
  <si>
    <t>UOM</t>
  </si>
  <si>
    <t>Original PO Qty</t>
  </si>
  <si>
    <t>Unit Price</t>
  </si>
  <si>
    <t>Sub-Total</t>
  </si>
  <si>
    <t>Change Order Totals</t>
  </si>
  <si>
    <t>Original PO Sub-Total</t>
  </si>
  <si>
    <t xml:space="preserve">Grand Total of Final Invoice: </t>
  </si>
  <si>
    <t>Configurator /Job Total Qty's</t>
  </si>
  <si>
    <t>Change Order Total</t>
  </si>
  <si>
    <t>Orig. Invoice Total</t>
  </si>
  <si>
    <t>PO #</t>
  </si>
  <si>
    <t>GEO LOC</t>
  </si>
  <si>
    <t>NPA NNX</t>
  </si>
  <si>
    <t>CLLI</t>
  </si>
  <si>
    <t>Wire Center Name</t>
  </si>
  <si>
    <t>ALT NAME</t>
  </si>
  <si>
    <t>LEIS</t>
  </si>
  <si>
    <t>LOWER
LEIS</t>
  </si>
  <si>
    <t>FACS</t>
  </si>
  <si>
    <t>UNIT</t>
  </si>
  <si>
    <t>sub-unit</t>
  </si>
  <si>
    <t>ABR</t>
  </si>
  <si>
    <t>FM</t>
  </si>
  <si>
    <t>WC
TYPE</t>
  </si>
  <si>
    <t>MAIN
WC</t>
  </si>
  <si>
    <t>CMC</t>
  </si>
  <si>
    <t>W77245</t>
  </si>
  <si>
    <t>HSTNTXAI</t>
  </si>
  <si>
    <t>AIRLINE</t>
  </si>
  <si>
    <t>TXHAI</t>
  </si>
  <si>
    <t>txhai</t>
  </si>
  <si>
    <t>AI</t>
  </si>
  <si>
    <t>Northeast</t>
  </si>
  <si>
    <t>NE</t>
  </si>
  <si>
    <t>N</t>
  </si>
  <si>
    <t>U</t>
  </si>
  <si>
    <t>Y</t>
  </si>
  <si>
    <t>HNE</t>
  </si>
  <si>
    <t>W76442</t>
  </si>
  <si>
    <t>HSTNTXAD</t>
  </si>
  <si>
    <t>ALDINE</t>
  </si>
  <si>
    <t>TXHAL</t>
  </si>
  <si>
    <t>txhal</t>
  </si>
  <si>
    <t>AL</t>
  </si>
  <si>
    <t>XJ4664</t>
  </si>
  <si>
    <t>ALICTXAL</t>
  </si>
  <si>
    <t>ALICE</t>
  </si>
  <si>
    <t>TXSAL</t>
  </si>
  <si>
    <t>txsal</t>
  </si>
  <si>
    <t>Southwest</t>
  </si>
  <si>
    <t>Corpus Christi (19)</t>
  </si>
  <si>
    <t>SW</t>
  </si>
  <si>
    <t>M</t>
  </si>
  <si>
    <t>STEC</t>
  </si>
  <si>
    <t>R</t>
  </si>
  <si>
    <t>HSO</t>
  </si>
  <si>
    <t>W85498</t>
  </si>
  <si>
    <t>HSTNTXAL</t>
  </si>
  <si>
    <t>ALIEF</t>
  </si>
  <si>
    <t>TXHAF</t>
  </si>
  <si>
    <t>txhaf</t>
  </si>
  <si>
    <t>AF</t>
  </si>
  <si>
    <t>Q</t>
  </si>
  <si>
    <t>WN5585</t>
  </si>
  <si>
    <t>ALVNTXAL</t>
  </si>
  <si>
    <t>ALVIN</t>
  </si>
  <si>
    <t>TXHAN</t>
  </si>
  <si>
    <t>txhan</t>
  </si>
  <si>
    <t>AN</t>
  </si>
  <si>
    <t xml:space="preserve">Southeast </t>
  </si>
  <si>
    <t>SE</t>
  </si>
  <si>
    <t>W</t>
  </si>
  <si>
    <t>O</t>
  </si>
  <si>
    <t>W83849</t>
  </si>
  <si>
    <t>AGTNTXTI</t>
  </si>
  <si>
    <t>ANGLETON</t>
  </si>
  <si>
    <t>TILDEN</t>
  </si>
  <si>
    <t>TXHAT</t>
  </si>
  <si>
    <t>txhat</t>
  </si>
  <si>
    <t>AT</t>
  </si>
  <si>
    <t>X</t>
  </si>
  <si>
    <t>WK3488</t>
  </si>
  <si>
    <t>HSTNTXAP</t>
  </si>
  <si>
    <t>APOLLO</t>
  </si>
  <si>
    <t>TXHAP</t>
  </si>
  <si>
    <t>txhap</t>
  </si>
  <si>
    <t>AP</t>
  </si>
  <si>
    <t>HSE</t>
  </si>
  <si>
    <t>XX8468</t>
  </si>
  <si>
    <t>ASTNTXAS</t>
  </si>
  <si>
    <t>ASHERTON</t>
  </si>
  <si>
    <t>TXSAS</t>
  </si>
  <si>
    <t>txsas</t>
  </si>
  <si>
    <t>AS</t>
  </si>
  <si>
    <t>Valley</t>
  </si>
  <si>
    <t>Laredo (14)</t>
  </si>
  <si>
    <t>VL</t>
  </si>
  <si>
    <t>L</t>
  </si>
  <si>
    <t>STEU</t>
  </si>
  <si>
    <t>HCV</t>
  </si>
  <si>
    <t>W77228</t>
  </si>
  <si>
    <t>HSTNTXBA</t>
  </si>
  <si>
    <t>BAMMEL</t>
  </si>
  <si>
    <t>TXHBA</t>
  </si>
  <si>
    <t>txhba</t>
  </si>
  <si>
    <t>BA</t>
  </si>
  <si>
    <t>Northwest</t>
  </si>
  <si>
    <t>NW</t>
  </si>
  <si>
    <t>W84492</t>
  </si>
  <si>
    <t>HSTNTXBR</t>
  </si>
  <si>
    <t>BARKER</t>
  </si>
  <si>
    <t>TXHBK</t>
  </si>
  <si>
    <t>txhbk</t>
  </si>
  <si>
    <t>BK</t>
  </si>
  <si>
    <t>HNW</t>
  </si>
  <si>
    <t>XX8376</t>
  </si>
  <si>
    <t>BTVLTXBV</t>
  </si>
  <si>
    <t>BATESVILLE</t>
  </si>
  <si>
    <t>TXSBT</t>
  </si>
  <si>
    <t>txsbt</t>
  </si>
  <si>
    <t>BT</t>
  </si>
  <si>
    <t>Hondo (9)</t>
  </si>
  <si>
    <t>W83245</t>
  </si>
  <si>
    <t>BYCYTXBY</t>
  </si>
  <si>
    <t>BAY CITY</t>
  </si>
  <si>
    <t>TXHBC</t>
  </si>
  <si>
    <t>txhbc</t>
  </si>
  <si>
    <t>BC</t>
  </si>
  <si>
    <t>XJ4529</t>
  </si>
  <si>
    <t>BYSDTXBY</t>
  </si>
  <si>
    <t>BAYSIDE</t>
  </si>
  <si>
    <t>TXSBY</t>
  </si>
  <si>
    <t>txsby</t>
  </si>
  <si>
    <t>BY</t>
  </si>
  <si>
    <t>WZ3835</t>
  </si>
  <si>
    <t>BUMTTXTE</t>
  </si>
  <si>
    <t>BEAUMONT TERMINAL</t>
  </si>
  <si>
    <t>TERMINAL</t>
  </si>
  <si>
    <t>TXHBE</t>
  </si>
  <si>
    <t>txhbe</t>
  </si>
  <si>
    <t>BE</t>
  </si>
  <si>
    <t>WZ3892</t>
  </si>
  <si>
    <t>BUMTTXTW</t>
  </si>
  <si>
    <t>BEAUMONT TWINBROOK</t>
  </si>
  <si>
    <t>TWINBROOK</t>
  </si>
  <si>
    <t>TXHTW</t>
  </si>
  <si>
    <t>txhtw</t>
  </si>
  <si>
    <t>TW</t>
  </si>
  <si>
    <t>S</t>
  </si>
  <si>
    <t>WZ3866</t>
  </si>
  <si>
    <t>BUMTTXUN</t>
  </si>
  <si>
    <t>BEAUMONT UNIVERSITY</t>
  </si>
  <si>
    <t>UNIVERSITY</t>
  </si>
  <si>
    <t>TXHUV</t>
  </si>
  <si>
    <t>txhuv</t>
  </si>
  <si>
    <t>UV</t>
  </si>
  <si>
    <t>WZ3842</t>
  </si>
  <si>
    <t>BUMTTXVI</t>
  </si>
  <si>
    <t>BEAUMONT VICTOR</t>
  </si>
  <si>
    <t>VICTOR</t>
  </si>
  <si>
    <t>TXHBV</t>
  </si>
  <si>
    <t>txhbv</t>
  </si>
  <si>
    <t>BV</t>
  </si>
  <si>
    <t>XJ8358</t>
  </si>
  <si>
    <t>BEVLTXBV</t>
  </si>
  <si>
    <t>BEEVILLE</t>
  </si>
  <si>
    <t>TXSBV</t>
  </si>
  <si>
    <t>txsbv</t>
  </si>
  <si>
    <t>W89865</t>
  </si>
  <si>
    <t>BLVLTXBL</t>
  </si>
  <si>
    <t>BELLVILLE</t>
  </si>
  <si>
    <t>TXHBI</t>
  </si>
  <si>
    <t>txhbi</t>
  </si>
  <si>
    <t>BI</t>
  </si>
  <si>
    <t>XX8256</t>
  </si>
  <si>
    <t>BNVDTXBN</t>
  </si>
  <si>
    <t>BENAVIDES</t>
  </si>
  <si>
    <t>TXSBN</t>
  </si>
  <si>
    <t>txsbn</t>
  </si>
  <si>
    <t>BN</t>
  </si>
  <si>
    <t>STEL</t>
  </si>
  <si>
    <t>XX8457</t>
  </si>
  <si>
    <t>BGWLTXBW</t>
  </si>
  <si>
    <t>BIG WELLS</t>
  </si>
  <si>
    <t>TXSBW</t>
  </si>
  <si>
    <t>txsbw</t>
  </si>
  <si>
    <t>BW</t>
  </si>
  <si>
    <t>WK4436</t>
  </si>
  <si>
    <t>HSTNTXID</t>
  </si>
  <si>
    <t>BLUERIDGE EAST</t>
  </si>
  <si>
    <t>TXHID</t>
  </si>
  <si>
    <t>txhid</t>
  </si>
  <si>
    <t>ID</t>
  </si>
  <si>
    <t>W87438</t>
  </si>
  <si>
    <t>HSTNTXBW</t>
  </si>
  <si>
    <t>BLUERIDGE WEST</t>
  </si>
  <si>
    <t>TXHBL</t>
  </si>
  <si>
    <t>txhbl</t>
  </si>
  <si>
    <t>BL</t>
  </si>
  <si>
    <t>XX8563</t>
  </si>
  <si>
    <t>BAVLTXBK</t>
  </si>
  <si>
    <t>BRACKETTVILLE</t>
  </si>
  <si>
    <t>BRACKETVILLE</t>
  </si>
  <si>
    <t>TXSBK</t>
  </si>
  <si>
    <t>txsbk</t>
  </si>
  <si>
    <t>W89836</t>
  </si>
  <si>
    <t>BRHMTXBR</t>
  </si>
  <si>
    <t>BRENHAM</t>
  </si>
  <si>
    <t>TXHBM</t>
  </si>
  <si>
    <t>txhbm</t>
  </si>
  <si>
    <t>BM</t>
  </si>
  <si>
    <t>WZ7735</t>
  </si>
  <si>
    <t>BRCYTXBR</t>
  </si>
  <si>
    <t>BRIDGE CITY</t>
  </si>
  <si>
    <t>TXHBR</t>
  </si>
  <si>
    <t>txhbr</t>
  </si>
  <si>
    <t>BR</t>
  </si>
  <si>
    <t>XJ5831</t>
  </si>
  <si>
    <t>BWVLTXTE</t>
  </si>
  <si>
    <t xml:space="preserve">BROWNSVILLE TERMINAL </t>
  </si>
  <si>
    <t>BROWNSVILLE TERMINAL</t>
  </si>
  <si>
    <t>TXSTR</t>
  </si>
  <si>
    <t>txstr</t>
  </si>
  <si>
    <t>TR</t>
  </si>
  <si>
    <t>Lower Valley (9)</t>
  </si>
  <si>
    <t>STEH</t>
  </si>
  <si>
    <t>XX8747</t>
  </si>
  <si>
    <t>BRUNTXBR</t>
  </si>
  <si>
    <t>BRUNI</t>
  </si>
  <si>
    <t>TXSBR</t>
  </si>
  <si>
    <t>txsbr</t>
  </si>
  <si>
    <t>W84497</t>
  </si>
  <si>
    <t>HSTNTXBU</t>
  </si>
  <si>
    <t>BUFFALO</t>
  </si>
  <si>
    <t>TXHBU</t>
  </si>
  <si>
    <t>txhbu</t>
  </si>
  <si>
    <t>BU</t>
  </si>
  <si>
    <t>WZ4160</t>
  </si>
  <si>
    <t>BUNATXBU</t>
  </si>
  <si>
    <t>BUNA</t>
  </si>
  <si>
    <t>TXHBN</t>
  </si>
  <si>
    <t>txhbn</t>
  </si>
  <si>
    <t>XJ4289</t>
  </si>
  <si>
    <t>CRCHTXBU</t>
  </si>
  <si>
    <t>BUTLER</t>
  </si>
  <si>
    <t>TXSBU</t>
  </si>
  <si>
    <t>txsbu</t>
  </si>
  <si>
    <t>XJ4241</t>
  </si>
  <si>
    <t>CRCHTXCA</t>
  </si>
  <si>
    <t>CALALLEN</t>
  </si>
  <si>
    <t>TXSCL</t>
  </si>
  <si>
    <t>txscl</t>
  </si>
  <si>
    <t>CL</t>
  </si>
  <si>
    <t>CR</t>
  </si>
  <si>
    <t>WK6922</t>
  </si>
  <si>
    <t>HSTNTXCA</t>
  </si>
  <si>
    <t xml:space="preserve">CAPITOL </t>
  </si>
  <si>
    <t>CAPITOL</t>
  </si>
  <si>
    <t>TXHCA</t>
  </si>
  <si>
    <t>txhca</t>
  </si>
  <si>
    <t>CA</t>
  </si>
  <si>
    <t>Central</t>
  </si>
  <si>
    <t>C</t>
  </si>
  <si>
    <t>XX8876</t>
  </si>
  <si>
    <t>CRSPTXCS</t>
  </si>
  <si>
    <t>CARRIZO SPRINGS</t>
  </si>
  <si>
    <t>TXSCZ</t>
  </si>
  <si>
    <t>txscz</t>
  </si>
  <si>
    <t>CZ</t>
  </si>
  <si>
    <t>XX8999</t>
  </si>
  <si>
    <t>CTRNTXCR</t>
  </si>
  <si>
    <t>CATARINA</t>
  </si>
  <si>
    <t>TXSCT</t>
  </si>
  <si>
    <t>txsct</t>
  </si>
  <si>
    <t>CT</t>
  </si>
  <si>
    <t>XJ4855</t>
  </si>
  <si>
    <t>CRCHTXTE</t>
  </si>
  <si>
    <t>CC TERMINAL</t>
  </si>
  <si>
    <t>TXSTE</t>
  </si>
  <si>
    <t>txste</t>
  </si>
  <si>
    <t>TE</t>
  </si>
  <si>
    <t>W76452</t>
  </si>
  <si>
    <t>HSTNTXCH</t>
  </si>
  <si>
    <t>CHANNELVIEW</t>
  </si>
  <si>
    <t>TXHCH</t>
  </si>
  <si>
    <t>txhch</t>
  </si>
  <si>
    <t>CH</t>
  </si>
  <si>
    <t>WZ3752</t>
  </si>
  <si>
    <t>CHINTXCH</t>
  </si>
  <si>
    <t xml:space="preserve">CHINA </t>
  </si>
  <si>
    <t>CHINA</t>
  </si>
  <si>
    <t>TXHCI</t>
  </si>
  <si>
    <t>txhci</t>
  </si>
  <si>
    <t>CI</t>
  </si>
  <si>
    <t>WK2651</t>
  </si>
  <si>
    <t>HSTNTXCL</t>
  </si>
  <si>
    <t xml:space="preserve">CLAY </t>
  </si>
  <si>
    <t>CLAY</t>
  </si>
  <si>
    <t>TXHCL</t>
  </si>
  <si>
    <t>txhcl</t>
  </si>
  <si>
    <t>WL3135</t>
  </si>
  <si>
    <t>CLEVTXCL</t>
  </si>
  <si>
    <t xml:space="preserve">CLEVELAND </t>
  </si>
  <si>
    <t>CLEVELAND</t>
  </si>
  <si>
    <t>TXHCV</t>
  </si>
  <si>
    <t>txhcv</t>
  </si>
  <si>
    <t>CV</t>
  </si>
  <si>
    <t>W83265</t>
  </si>
  <si>
    <t>CLUTTXCL</t>
  </si>
  <si>
    <t xml:space="preserve">CLUTE </t>
  </si>
  <si>
    <t>CLUTE</t>
  </si>
  <si>
    <t>TXHCU</t>
  </si>
  <si>
    <t>txhcu</t>
  </si>
  <si>
    <t>CU</t>
  </si>
  <si>
    <t>W89732</t>
  </si>
  <si>
    <t>CLMBTXCL</t>
  </si>
  <si>
    <t xml:space="preserve">COLUMBUS </t>
  </si>
  <si>
    <t>COLUMBUS</t>
  </si>
  <si>
    <t>TXHCO</t>
  </si>
  <si>
    <t>txhco</t>
  </si>
  <si>
    <t>CO</t>
  </si>
  <si>
    <t>WL8398</t>
  </si>
  <si>
    <t>CRGNTXCR</t>
  </si>
  <si>
    <t xml:space="preserve">CORRIGAN </t>
  </si>
  <si>
    <t>CORRIGAN</t>
  </si>
  <si>
    <t>TXHCG</t>
  </si>
  <si>
    <t>txhcg</t>
  </si>
  <si>
    <t>CG</t>
  </si>
  <si>
    <t>XX8879</t>
  </si>
  <si>
    <t>CTLLTXCO</t>
  </si>
  <si>
    <t>COTULLA</t>
  </si>
  <si>
    <t>TXSCO</t>
  </si>
  <si>
    <t>txsco</t>
  </si>
  <si>
    <t>XX8374</t>
  </si>
  <si>
    <t>CRCYTXCC</t>
  </si>
  <si>
    <t>CRYSTAL CITY</t>
  </si>
  <si>
    <t>TXSCC</t>
  </si>
  <si>
    <t>txscc</t>
  </si>
  <si>
    <t>CC</t>
  </si>
  <si>
    <t>XC2275</t>
  </si>
  <si>
    <t>CUERTXCR</t>
  </si>
  <si>
    <t>CUERO</t>
  </si>
  <si>
    <t>TXSCR</t>
  </si>
  <si>
    <t>txscr</t>
  </si>
  <si>
    <t>STEV</t>
  </si>
  <si>
    <t>WL4256</t>
  </si>
  <si>
    <t>CYPRTXCY</t>
  </si>
  <si>
    <t>CYPRESS</t>
  </si>
  <si>
    <t>TXHCY</t>
  </si>
  <si>
    <t>txhcy</t>
  </si>
  <si>
    <t>CY</t>
  </si>
  <si>
    <t>W83922</t>
  </si>
  <si>
    <t>AGTNTXDA</t>
  </si>
  <si>
    <t>DANBURY</t>
  </si>
  <si>
    <t>ANGLETON - DANBURY</t>
  </si>
  <si>
    <t>TXHAD</t>
  </si>
  <si>
    <t>txhad</t>
  </si>
  <si>
    <t>AD</t>
  </si>
  <si>
    <t>WL3258</t>
  </si>
  <si>
    <t>DYTNTXDY</t>
  </si>
  <si>
    <t>DAYTON</t>
  </si>
  <si>
    <t>TXHDA</t>
  </si>
  <si>
    <t>txhda</t>
  </si>
  <si>
    <t>DA</t>
  </si>
  <si>
    <t>WK9479</t>
  </si>
  <si>
    <t>HSTNTXDP</t>
  </si>
  <si>
    <t>DEER PARK</t>
  </si>
  <si>
    <t>TXHDE</t>
  </si>
  <si>
    <t>txhde</t>
  </si>
  <si>
    <t>DE</t>
  </si>
  <si>
    <t>XX7663</t>
  </si>
  <si>
    <t>DEVNTXDV</t>
  </si>
  <si>
    <t>DEVINE</t>
  </si>
  <si>
    <t>TXSDV</t>
  </si>
  <si>
    <t>txsdv</t>
  </si>
  <si>
    <t>DV</t>
  </si>
  <si>
    <t>WZ7746</t>
  </si>
  <si>
    <t>DWVLTXDW</t>
  </si>
  <si>
    <t>DEWEYVILLE</t>
  </si>
  <si>
    <t>TXHDV</t>
  </si>
  <si>
    <t>txhdv</t>
  </si>
  <si>
    <t>XJ6464</t>
  </si>
  <si>
    <t>DONNTXDO</t>
  </si>
  <si>
    <t>DONNA</t>
  </si>
  <si>
    <t>TXSDO</t>
  </si>
  <si>
    <t>txsdo</t>
  </si>
  <si>
    <t>DO</t>
  </si>
  <si>
    <t>Upper Valley (9)</t>
  </si>
  <si>
    <t>STEMC</t>
  </si>
  <si>
    <t>W89234</t>
  </si>
  <si>
    <t>EGLKTXEG</t>
  </si>
  <si>
    <t xml:space="preserve">EAGLE LAKE </t>
  </si>
  <si>
    <t>EAGLE LAKE</t>
  </si>
  <si>
    <t>TXHEL</t>
  </si>
  <si>
    <t>txhel</t>
  </si>
  <si>
    <t>EL</t>
  </si>
  <si>
    <t>XX8773</t>
  </si>
  <si>
    <t>EGPSTXEP</t>
  </si>
  <si>
    <t>EAGLE PASS</t>
  </si>
  <si>
    <t>TXSEA</t>
  </si>
  <si>
    <t>txsea</t>
  </si>
  <si>
    <t>EA</t>
  </si>
  <si>
    <t>W76458</t>
  </si>
  <si>
    <t>HSTNTXEH</t>
  </si>
  <si>
    <t xml:space="preserve">EAST HOUSTON </t>
  </si>
  <si>
    <t>EAST HOUSTON</t>
  </si>
  <si>
    <t>TXHEH</t>
  </si>
  <si>
    <t>txheh</t>
  </si>
  <si>
    <t>EH</t>
  </si>
  <si>
    <t>XJ6262</t>
  </si>
  <si>
    <t>EDCHTXED</t>
  </si>
  <si>
    <t>EDCOUCH</t>
  </si>
  <si>
    <t>TXSEH</t>
  </si>
  <si>
    <t>txseh</t>
  </si>
  <si>
    <t>XJ6383</t>
  </si>
  <si>
    <t>EDBGTXEB</t>
  </si>
  <si>
    <t>EDINBURG</t>
  </si>
  <si>
    <t>TXSED</t>
  </si>
  <si>
    <t>txsed</t>
  </si>
  <si>
    <t>ED</t>
  </si>
  <si>
    <t>XC2782</t>
  </si>
  <si>
    <t>EDNATXED</t>
  </si>
  <si>
    <t>EDNA</t>
  </si>
  <si>
    <t>TXSEN</t>
  </si>
  <si>
    <t>txsen</t>
  </si>
  <si>
    <t>EN</t>
  </si>
  <si>
    <t>W83543</t>
  </si>
  <si>
    <t>ELCMTXEL</t>
  </si>
  <si>
    <t xml:space="preserve">EL CAMPO </t>
  </si>
  <si>
    <t>EL CAMPO</t>
  </si>
  <si>
    <t>TXHEC</t>
  </si>
  <si>
    <t>txhec</t>
  </si>
  <si>
    <t>EC</t>
  </si>
  <si>
    <t>WK9487</t>
  </si>
  <si>
    <t>HSTNTXEE</t>
  </si>
  <si>
    <t xml:space="preserve">ELLINGTON EAST </t>
  </si>
  <si>
    <t>ELLINGTON EAST</t>
  </si>
  <si>
    <t>TXHEE</t>
  </si>
  <si>
    <t>txhee</t>
  </si>
  <si>
    <t>EE</t>
  </si>
  <si>
    <t>WK3481</t>
  </si>
  <si>
    <t>HSTNTXWL</t>
  </si>
  <si>
    <t xml:space="preserve">ELLINGTON WEST </t>
  </si>
  <si>
    <t>ELLINGTON WEST</t>
  </si>
  <si>
    <t>TXHEW</t>
  </si>
  <si>
    <t>txhew</t>
  </si>
  <si>
    <t>EW</t>
  </si>
  <si>
    <t>XX8948</t>
  </si>
  <si>
    <t>ENCLTXEC</t>
  </si>
  <si>
    <t>ENCINAL</t>
  </si>
  <si>
    <t>TXSEC</t>
  </si>
  <si>
    <t>txsec</t>
  </si>
  <si>
    <t>WZ4399</t>
  </si>
  <si>
    <t>EVDLTXEV</t>
  </si>
  <si>
    <t xml:space="preserve">EVADALE </t>
  </si>
  <si>
    <t>EVADALE</t>
  </si>
  <si>
    <t>TXHEV</t>
  </si>
  <si>
    <t>txhev</t>
  </si>
  <si>
    <t>EV</t>
  </si>
  <si>
    <t>WL4462</t>
  </si>
  <si>
    <t>HSTNTXFA</t>
  </si>
  <si>
    <t xml:space="preserve">FAIRBANKS </t>
  </si>
  <si>
    <t>FAIRBANKS</t>
  </si>
  <si>
    <t>TXHFA</t>
  </si>
  <si>
    <t>txhfa</t>
  </si>
  <si>
    <t>FA</t>
  </si>
  <si>
    <t>XX8848</t>
  </si>
  <si>
    <t>FLHGTXFH</t>
  </si>
  <si>
    <t>FALCON HEIGHTS</t>
  </si>
  <si>
    <t>TXSFH</t>
  </si>
  <si>
    <t>txsfh</t>
  </si>
  <si>
    <t>FH</t>
  </si>
  <si>
    <t>WZ3794</t>
  </si>
  <si>
    <t>FNNTTXFN</t>
  </si>
  <si>
    <t xml:space="preserve">FANNETT </t>
  </si>
  <si>
    <t>FANNETT</t>
  </si>
  <si>
    <t>TXHFT</t>
  </si>
  <si>
    <t>txhft</t>
  </si>
  <si>
    <t>FT</t>
  </si>
  <si>
    <t>XC2865</t>
  </si>
  <si>
    <t>FLTOTXFL</t>
  </si>
  <si>
    <t>FLATONIA</t>
  </si>
  <si>
    <t>TXSFL</t>
  </si>
  <si>
    <t>txsfl</t>
  </si>
  <si>
    <t>FL</t>
  </si>
  <si>
    <t>XJ4937</t>
  </si>
  <si>
    <t>CRCHTXFB</t>
  </si>
  <si>
    <t>FLOUR BLUFF WEBSTER</t>
  </si>
  <si>
    <t>TXSFB</t>
  </si>
  <si>
    <t>txsfb</t>
  </si>
  <si>
    <t>FB</t>
  </si>
  <si>
    <t>W83233</t>
  </si>
  <si>
    <t>FRPTTXFR</t>
  </si>
  <si>
    <t xml:space="preserve">FREEPORT </t>
  </si>
  <si>
    <t>FREEPORT</t>
  </si>
  <si>
    <t>TXHFP</t>
  </si>
  <si>
    <t>txhfp</t>
  </si>
  <si>
    <t>FP</t>
  </si>
  <si>
    <t>XX8394</t>
  </si>
  <si>
    <t>FRERTXFR</t>
  </si>
  <si>
    <t>FREER</t>
  </si>
  <si>
    <t>TXSFE</t>
  </si>
  <si>
    <t>txsfe</t>
  </si>
  <si>
    <t>FE</t>
  </si>
  <si>
    <t>WK4482</t>
  </si>
  <si>
    <t>HSTNTXFR</t>
  </si>
  <si>
    <t xml:space="preserve">FRIENDSWOOD </t>
  </si>
  <si>
    <t>FRIENDSWOOD</t>
  </si>
  <si>
    <t>TXHFR</t>
  </si>
  <si>
    <t>txhfr</t>
  </si>
  <si>
    <t>FR</t>
  </si>
  <si>
    <t>WN5744</t>
  </si>
  <si>
    <t>GLTNTXSH</t>
  </si>
  <si>
    <t xml:space="preserve">GALVESTON SHERWOOD </t>
  </si>
  <si>
    <t>SHERWOOD</t>
  </si>
  <si>
    <t>TXHGD</t>
  </si>
  <si>
    <t>txhgd</t>
  </si>
  <si>
    <t>GD</t>
  </si>
  <si>
    <t>WN5762</t>
  </si>
  <si>
    <t>GLTNTXSO</t>
  </si>
  <si>
    <t xml:space="preserve">GALVESTON SOUTHFIELD </t>
  </si>
  <si>
    <t>SOUTHFIELD</t>
  </si>
  <si>
    <t>TXHGS</t>
  </si>
  <si>
    <t>txhgs</t>
  </si>
  <si>
    <t>GS</t>
  </si>
  <si>
    <t>WN5737</t>
  </si>
  <si>
    <t>GLTNTXWI</t>
  </si>
  <si>
    <t xml:space="preserve">GALVESTON WEST ISLAND </t>
  </si>
  <si>
    <t>GALVESTON WEST ISLAND</t>
  </si>
  <si>
    <t>TXHGW</t>
  </si>
  <si>
    <t>txhgw</t>
  </si>
  <si>
    <t>GW</t>
  </si>
  <si>
    <t>W89758</t>
  </si>
  <si>
    <t>GRWDTXGR</t>
  </si>
  <si>
    <t xml:space="preserve">GARWOOD </t>
  </si>
  <si>
    <t>GARWOOD</t>
  </si>
  <si>
    <t>TXHGA</t>
  </si>
  <si>
    <t>txhga</t>
  </si>
  <si>
    <t>GA</t>
  </si>
  <si>
    <t>W76453</t>
  </si>
  <si>
    <t>HSTNTXGL</t>
  </si>
  <si>
    <t xml:space="preserve">GLENDALE </t>
  </si>
  <si>
    <t>GLENDALE</t>
  </si>
  <si>
    <t>TXHGL</t>
  </si>
  <si>
    <t>txhgl</t>
  </si>
  <si>
    <t>GL</t>
  </si>
  <si>
    <t>XC2645</t>
  </si>
  <si>
    <t>GOLITXGO</t>
  </si>
  <si>
    <t>GOLIAD</t>
  </si>
  <si>
    <t>TXSGO</t>
  </si>
  <si>
    <t>txsgo</t>
  </si>
  <si>
    <t>GO</t>
  </si>
  <si>
    <t>W77197</t>
  </si>
  <si>
    <t>HSTNTXGP</t>
  </si>
  <si>
    <t xml:space="preserve">GREENSPOINT </t>
  </si>
  <si>
    <t>GREENSPOINT</t>
  </si>
  <si>
    <t>TXHGP</t>
  </si>
  <si>
    <t>txhgp</t>
  </si>
  <si>
    <t>GP</t>
  </si>
  <si>
    <t>WK9472</t>
  </si>
  <si>
    <t>HSTNTXGR</t>
  </si>
  <si>
    <t xml:space="preserve">GREENWOOD </t>
  </si>
  <si>
    <t>GREENWOOD</t>
  </si>
  <si>
    <t>TXHGR</t>
  </si>
  <si>
    <t>txhgr</t>
  </si>
  <si>
    <t>GR</t>
  </si>
  <si>
    <t>XC2798</t>
  </si>
  <si>
    <t>HTVLTXHV</t>
  </si>
  <si>
    <t>HALLETSVILLE</t>
  </si>
  <si>
    <t>TXSHV</t>
  </si>
  <si>
    <t>txshv</t>
  </si>
  <si>
    <t>HV</t>
  </si>
  <si>
    <t>XJ5423</t>
  </si>
  <si>
    <t>HRLNTXHG</t>
  </si>
  <si>
    <t>HARLINGEN</t>
  </si>
  <si>
    <t>TXSHG</t>
  </si>
  <si>
    <t>txshg</t>
  </si>
  <si>
    <t>HG</t>
  </si>
  <si>
    <t>XX8527</t>
  </si>
  <si>
    <t>HBVLTXHB</t>
  </si>
  <si>
    <t>HEBBRONVILLE</t>
  </si>
  <si>
    <t>TXSHB</t>
  </si>
  <si>
    <t>txshb</t>
  </si>
  <si>
    <t>HB</t>
  </si>
  <si>
    <t>W89826</t>
  </si>
  <si>
    <t>HMPSTXHM</t>
  </si>
  <si>
    <t xml:space="preserve">HEMPSTEAD </t>
  </si>
  <si>
    <t>HEMPSTEAD</t>
  </si>
  <si>
    <t>TXHHE</t>
  </si>
  <si>
    <t>txhhe</t>
  </si>
  <si>
    <t>HE</t>
  </si>
  <si>
    <t>XJ6843</t>
  </si>
  <si>
    <t>MCALTXHI</t>
  </si>
  <si>
    <t>HIDALGO</t>
  </si>
  <si>
    <t>TXSHD</t>
  </si>
  <si>
    <t>txshd</t>
  </si>
  <si>
    <t>HD</t>
  </si>
  <si>
    <t>W84465</t>
  </si>
  <si>
    <t>HSTNTXHO</t>
  </si>
  <si>
    <t xml:space="preserve">HOMESTEAD </t>
  </si>
  <si>
    <t>HOMESTEAD</t>
  </si>
  <si>
    <t>TXHHO</t>
  </si>
  <si>
    <t>txhho</t>
  </si>
  <si>
    <t>HO</t>
  </si>
  <si>
    <t>XX7426</t>
  </si>
  <si>
    <t>HONDTXHO</t>
  </si>
  <si>
    <t>HONDO</t>
  </si>
  <si>
    <t>TXSHN</t>
  </si>
  <si>
    <t>txshn</t>
  </si>
  <si>
    <t>HN</t>
  </si>
  <si>
    <t>WK3944</t>
  </si>
  <si>
    <t>HSTNTXHU</t>
  </si>
  <si>
    <t xml:space="preserve">HUDSON </t>
  </si>
  <si>
    <t>HUDSON</t>
  </si>
  <si>
    <t>TXHHN</t>
  </si>
  <si>
    <t>txhhn</t>
  </si>
  <si>
    <t>WL8340</t>
  </si>
  <si>
    <t>HNVITXHN</t>
  </si>
  <si>
    <t xml:space="preserve">HUNTSVILLE </t>
  </si>
  <si>
    <t>HUNTSVILLE</t>
  </si>
  <si>
    <t>TXHHU</t>
  </si>
  <si>
    <t>txhhu</t>
  </si>
  <si>
    <t>HU</t>
  </si>
  <si>
    <t>WK4433</t>
  </si>
  <si>
    <t xml:space="preserve">IDLEWOOD </t>
  </si>
  <si>
    <t>WK6522</t>
  </si>
  <si>
    <t>HSTNTXJA</t>
  </si>
  <si>
    <t xml:space="preserve">JACKSON </t>
  </si>
  <si>
    <t>JACKSON</t>
  </si>
  <si>
    <t>TXHJA</t>
  </si>
  <si>
    <t>txhja</t>
  </si>
  <si>
    <t>JA</t>
  </si>
  <si>
    <t>WZ4215</t>
  </si>
  <si>
    <t>JSPRTXDU</t>
  </si>
  <si>
    <t xml:space="preserve">JASPER DUDLEY </t>
  </si>
  <si>
    <t>JASPER-DUDLEY</t>
  </si>
  <si>
    <t>TXHJD</t>
  </si>
  <si>
    <t>txhjd</t>
  </si>
  <si>
    <t>JD</t>
  </si>
  <si>
    <t>WZ4318</t>
  </si>
  <si>
    <t>JSPRTXRA</t>
  </si>
  <si>
    <t xml:space="preserve">JASPER RAYBURN </t>
  </si>
  <si>
    <t>JASPER-RAYBURN</t>
  </si>
  <si>
    <t>TXHJR</t>
  </si>
  <si>
    <t>txhjr</t>
  </si>
  <si>
    <t>JR</t>
  </si>
  <si>
    <t>WL4466</t>
  </si>
  <si>
    <t>JERSEY VILLAGE</t>
  </si>
  <si>
    <t>XJ4592</t>
  </si>
  <si>
    <t>KGVLTXKV</t>
  </si>
  <si>
    <t>KINGSVILLE</t>
  </si>
  <si>
    <t>TXSKV</t>
  </si>
  <si>
    <t>txskv</t>
  </si>
  <si>
    <t>KV</t>
  </si>
  <si>
    <t>WZ4233</t>
  </si>
  <si>
    <t>KBVLTXKB</t>
  </si>
  <si>
    <t xml:space="preserve">KIRBYVILLE </t>
  </si>
  <si>
    <t>KIRBYVILLE</t>
  </si>
  <si>
    <t>TXHKI</t>
  </si>
  <si>
    <t>txhki</t>
  </si>
  <si>
    <t>KI</t>
  </si>
  <si>
    <t>WL7371</t>
  </si>
  <si>
    <t>TBLLTXKL</t>
  </si>
  <si>
    <t xml:space="preserve">KLEIN </t>
  </si>
  <si>
    <t>KLEIN</t>
  </si>
  <si>
    <t>TXHTK</t>
  </si>
  <si>
    <t>txhtk</t>
  </si>
  <si>
    <t>TK</t>
  </si>
  <si>
    <t>WZ4245</t>
  </si>
  <si>
    <t>KNTZTXKN</t>
  </si>
  <si>
    <t xml:space="preserve">KOUNTZE </t>
  </si>
  <si>
    <t>KOUNTZE</t>
  </si>
  <si>
    <t>TXHKZ</t>
  </si>
  <si>
    <t>txhkz</t>
  </si>
  <si>
    <t>KZ</t>
  </si>
  <si>
    <t>WK9471</t>
  </si>
  <si>
    <t>HSTNTXLP</t>
  </si>
  <si>
    <t xml:space="preserve">LA PORTE </t>
  </si>
  <si>
    <t>LAPORTE</t>
  </si>
  <si>
    <t>TXHLP</t>
  </si>
  <si>
    <t>txhlp</t>
  </si>
  <si>
    <t>LP</t>
  </si>
  <si>
    <t>XX8365</t>
  </si>
  <si>
    <t>LAPRTXLP</t>
  </si>
  <si>
    <t>LA PRYOR</t>
  </si>
  <si>
    <t>TXSLP</t>
  </si>
  <si>
    <t>txslp</t>
  </si>
  <si>
    <t>WZ3796</t>
  </si>
  <si>
    <t>LBLLTXLB</t>
  </si>
  <si>
    <t xml:space="preserve">LABELLE </t>
  </si>
  <si>
    <t>LABELLE</t>
  </si>
  <si>
    <t>TXHLB</t>
  </si>
  <si>
    <t>txhlb</t>
  </si>
  <si>
    <t>LB</t>
  </si>
  <si>
    <t>W76454</t>
  </si>
  <si>
    <t>HSTNTXLH</t>
  </si>
  <si>
    <t xml:space="preserve">LAKE HOUSTON </t>
  </si>
  <si>
    <t>LAKE HOUSTON</t>
  </si>
  <si>
    <t>W83297</t>
  </si>
  <si>
    <t>CLUTTXLJ</t>
  </si>
  <si>
    <t xml:space="preserve">LAKE JACKSON </t>
  </si>
  <si>
    <t>LAKE JACKSON</t>
  </si>
  <si>
    <t>TXHLJ</t>
  </si>
  <si>
    <t>txhlj</t>
  </si>
  <si>
    <t>LJ</t>
  </si>
  <si>
    <t>WN5935</t>
  </si>
  <si>
    <t>TXCYTXLM</t>
  </si>
  <si>
    <t xml:space="preserve">LAMARQUE </t>
  </si>
  <si>
    <t>LAMARQUE</t>
  </si>
  <si>
    <t>TXHLM</t>
  </si>
  <si>
    <t>txhlm</t>
  </si>
  <si>
    <t>LM</t>
  </si>
  <si>
    <t>WL4463</t>
  </si>
  <si>
    <t>HSTNTXLA</t>
  </si>
  <si>
    <t xml:space="preserve">LANGHAM CREEK </t>
  </si>
  <si>
    <t>LANGHAM CREEK</t>
  </si>
  <si>
    <t>TXHLC</t>
  </si>
  <si>
    <t>txhlc</t>
  </si>
  <si>
    <t>LC</t>
  </si>
  <si>
    <t>XX8722</t>
  </si>
  <si>
    <t>LARDTXLA</t>
  </si>
  <si>
    <t>LAREDO</t>
  </si>
  <si>
    <t>TXSLA</t>
  </si>
  <si>
    <t>txsla</t>
  </si>
  <si>
    <t>LA</t>
  </si>
  <si>
    <t>WL3336</t>
  </si>
  <si>
    <t>LBRTTXLB</t>
  </si>
  <si>
    <t xml:space="preserve">LIBERTY </t>
  </si>
  <si>
    <t>LIBERTY</t>
  </si>
  <si>
    <t>TXHLI</t>
  </si>
  <si>
    <t>txhli</t>
  </si>
  <si>
    <t>LI</t>
  </si>
  <si>
    <t>XJ5542</t>
  </si>
  <si>
    <t>BWVLTXLI</t>
  </si>
  <si>
    <t>LINCOLN SA</t>
  </si>
  <si>
    <t>BROWNSVILLE LINCOLN</t>
  </si>
  <si>
    <t>TXSLN</t>
  </si>
  <si>
    <t>txsln</t>
  </si>
  <si>
    <t>LN</t>
  </si>
  <si>
    <t>WN5393</t>
  </si>
  <si>
    <t>LVRPTXLV</t>
  </si>
  <si>
    <t xml:space="preserve">LIVERPOOL </t>
  </si>
  <si>
    <t>XJ5233</t>
  </si>
  <si>
    <t>LSFRTXLF</t>
  </si>
  <si>
    <t>LOS FRESNOS</t>
  </si>
  <si>
    <t>TXSLF</t>
  </si>
  <si>
    <t>txslf</t>
  </si>
  <si>
    <t>LF</t>
  </si>
  <si>
    <t>WZ3755</t>
  </si>
  <si>
    <t>LMTNTXLM</t>
  </si>
  <si>
    <t xml:space="preserve">LUMBERTON </t>
  </si>
  <si>
    <t>LUMBERTON</t>
  </si>
  <si>
    <t>TXHLU</t>
  </si>
  <si>
    <t>txhlu</t>
  </si>
  <si>
    <t>LU</t>
  </si>
  <si>
    <t>WL8435</t>
  </si>
  <si>
    <t>MDVITXMD</t>
  </si>
  <si>
    <t xml:space="preserve">MADISONVILLE </t>
  </si>
  <si>
    <t>MADISONVILLE</t>
  </si>
  <si>
    <t>TXHMD</t>
  </si>
  <si>
    <t>txhmd</t>
  </si>
  <si>
    <t>MD</t>
  </si>
  <si>
    <t>WK4489</t>
  </si>
  <si>
    <t>HSTNTXMA</t>
  </si>
  <si>
    <t xml:space="preserve">MANVEL </t>
  </si>
  <si>
    <t>MANVEL</t>
  </si>
  <si>
    <t>TXHML</t>
  </si>
  <si>
    <t>txhml</t>
  </si>
  <si>
    <t>ML</t>
  </si>
  <si>
    <t>W83863</t>
  </si>
  <si>
    <t>MTGRTXMT</t>
  </si>
  <si>
    <t xml:space="preserve">MATAGORDA </t>
  </si>
  <si>
    <t>MATAGORDA</t>
  </si>
  <si>
    <t>TXHMA</t>
  </si>
  <si>
    <t>txhma</t>
  </si>
  <si>
    <t>MA</t>
  </si>
  <si>
    <t>XJ4547</t>
  </si>
  <si>
    <t>MTHSTXMA</t>
  </si>
  <si>
    <t>MATHIS</t>
  </si>
  <si>
    <t>TXSMS</t>
  </si>
  <si>
    <t>txsms</t>
  </si>
  <si>
    <t>MS</t>
  </si>
  <si>
    <t>WZ7745</t>
  </si>
  <si>
    <t>MRVLTXMR</t>
  </si>
  <si>
    <t xml:space="preserve">MAURICEVILLE </t>
  </si>
  <si>
    <t>MAURICEVILLE</t>
  </si>
  <si>
    <t>TXHME</t>
  </si>
  <si>
    <t>txhme</t>
  </si>
  <si>
    <t>ME</t>
  </si>
  <si>
    <t>XJ6686</t>
  </si>
  <si>
    <t>MCALTXMU</t>
  </si>
  <si>
    <t>MCALLEN</t>
  </si>
  <si>
    <t>MCALLEN MURRAY</t>
  </si>
  <si>
    <t>TXSMR</t>
  </si>
  <si>
    <t>txsmr</t>
  </si>
  <si>
    <t>MR</t>
  </si>
  <si>
    <t>W82795</t>
  </si>
  <si>
    <t>HSTNTXMC</t>
  </si>
  <si>
    <t xml:space="preserve">MEDICAL CENTER </t>
  </si>
  <si>
    <t>MEDICAL CENTER</t>
  </si>
  <si>
    <t>TXHMC</t>
  </si>
  <si>
    <t>txhmc</t>
  </si>
  <si>
    <t>MC</t>
  </si>
  <si>
    <t>XJ5565</t>
  </si>
  <si>
    <t>MRCDTXME</t>
  </si>
  <si>
    <t>MERCEDES</t>
  </si>
  <si>
    <t>TXSME</t>
  </si>
  <si>
    <t>txsme</t>
  </si>
  <si>
    <t>WK3644</t>
  </si>
  <si>
    <t>HSTNTXMI</t>
  </si>
  <si>
    <t xml:space="preserve">MISSION </t>
  </si>
  <si>
    <t>MISSION</t>
  </si>
  <si>
    <t>TXHMI</t>
  </si>
  <si>
    <t>txhmi</t>
  </si>
  <si>
    <t>MI</t>
  </si>
  <si>
    <t>XJ6585</t>
  </si>
  <si>
    <t>MSSNTXMI</t>
  </si>
  <si>
    <t>MISSION SA</t>
  </si>
  <si>
    <t>UV MISSION</t>
  </si>
  <si>
    <t>TXSMI</t>
  </si>
  <si>
    <t>txsmi</t>
  </si>
  <si>
    <t>W82664</t>
  </si>
  <si>
    <t>HSTNTXMO</t>
  </si>
  <si>
    <t xml:space="preserve">MOHAWK </t>
  </si>
  <si>
    <t>MOHAWK</t>
  </si>
  <si>
    <t>TXHMO</t>
  </si>
  <si>
    <t>txhmo</t>
  </si>
  <si>
    <t>MO</t>
  </si>
  <si>
    <t>XC2596</t>
  </si>
  <si>
    <t>MOLTTXMN</t>
  </si>
  <si>
    <t>MOULTON</t>
  </si>
  <si>
    <t>TXSMO</t>
  </si>
  <si>
    <t>txsmo</t>
  </si>
  <si>
    <t>W86622</t>
  </si>
  <si>
    <t>HSTNTXNA</t>
  </si>
  <si>
    <t xml:space="preserve">NATIONAL </t>
  </si>
  <si>
    <t>NATIONAL</t>
  </si>
  <si>
    <t>TXHNA</t>
  </si>
  <si>
    <t>txhna</t>
  </si>
  <si>
    <t>NA</t>
  </si>
  <si>
    <t>WZ7722</t>
  </si>
  <si>
    <t>NDLDTXND</t>
  </si>
  <si>
    <t xml:space="preserve">NEDERLAND </t>
  </si>
  <si>
    <t>NEDERLAND</t>
  </si>
  <si>
    <t>TXHND</t>
  </si>
  <si>
    <t>txhnd</t>
  </si>
  <si>
    <t>ND</t>
  </si>
  <si>
    <t>W76633</t>
  </si>
  <si>
    <t>HSTNTXNE</t>
  </si>
  <si>
    <t xml:space="preserve">NEPTUNE </t>
  </si>
  <si>
    <t>NEPTUNE</t>
  </si>
  <si>
    <t>TXHNE</t>
  </si>
  <si>
    <t>txhne</t>
  </si>
  <si>
    <t>XC2938</t>
  </si>
  <si>
    <t>NRDHTXNH</t>
  </si>
  <si>
    <t>NORDHEIM</t>
  </si>
  <si>
    <t>TXSNH</t>
  </si>
  <si>
    <t>txsnh</t>
  </si>
  <si>
    <t>NH</t>
  </si>
  <si>
    <t>XJ5350</t>
  </si>
  <si>
    <t>BWVLTXOL</t>
  </si>
  <si>
    <t>OLMITO</t>
  </si>
  <si>
    <t>BROWSVILLE OLMITO</t>
  </si>
  <si>
    <t>TXSOL</t>
  </si>
  <si>
    <t>txsol</t>
  </si>
  <si>
    <t>OL</t>
  </si>
  <si>
    <t>WZ7886</t>
  </si>
  <si>
    <t>ORNGTXOR</t>
  </si>
  <si>
    <t xml:space="preserve">ORANGE </t>
  </si>
  <si>
    <t>ORANGE</t>
  </si>
  <si>
    <t>TXHOG</t>
  </si>
  <si>
    <t>txhog</t>
  </si>
  <si>
    <t>OG</t>
  </si>
  <si>
    <t>W75672</t>
  </si>
  <si>
    <t>HSTNTXOR</t>
  </si>
  <si>
    <t xml:space="preserve">ORCHARD </t>
  </si>
  <si>
    <t>ORCHARD</t>
  </si>
  <si>
    <t>TXHOR</t>
  </si>
  <si>
    <t>txhor</t>
  </si>
  <si>
    <t>OR</t>
  </si>
  <si>
    <t>WL4682</t>
  </si>
  <si>
    <t>HSTNTXOV</t>
  </si>
  <si>
    <t xml:space="preserve">OVERLAND </t>
  </si>
  <si>
    <t>OVERLAND</t>
  </si>
  <si>
    <t>TXHOV</t>
  </si>
  <si>
    <t>txhov</t>
  </si>
  <si>
    <t>OV</t>
  </si>
  <si>
    <t>W78080</t>
  </si>
  <si>
    <t>HSTNTXOX</t>
  </si>
  <si>
    <t xml:space="preserve">OXFORD </t>
  </si>
  <si>
    <t>OXFORD</t>
  </si>
  <si>
    <t>TXHOX</t>
  </si>
  <si>
    <t>txhox</t>
  </si>
  <si>
    <t>OX</t>
  </si>
  <si>
    <t>XJ4949</t>
  </si>
  <si>
    <t>CRCHTXPD</t>
  </si>
  <si>
    <t>PADRE ISLAND</t>
  </si>
  <si>
    <t>TXSPD</t>
  </si>
  <si>
    <t>txspd</t>
  </si>
  <si>
    <t>PD</t>
  </si>
  <si>
    <t>W87723</t>
  </si>
  <si>
    <t>HSTNTXPA</t>
  </si>
  <si>
    <t xml:space="preserve">PARKVIEW </t>
  </si>
  <si>
    <t>PARKVIEW</t>
  </si>
  <si>
    <t>TXHPA</t>
  </si>
  <si>
    <t>txhpa</t>
  </si>
  <si>
    <t>PA</t>
  </si>
  <si>
    <t>WK4485</t>
  </si>
  <si>
    <t>HSTNTXPE</t>
  </si>
  <si>
    <t xml:space="preserve">PEARLAND </t>
  </si>
  <si>
    <t>PEARLAND</t>
  </si>
  <si>
    <t>TXHPE</t>
  </si>
  <si>
    <t>txhpe</t>
  </si>
  <si>
    <t>PE</t>
  </si>
  <si>
    <t>XX7334</t>
  </si>
  <si>
    <t>PRSLTXPS</t>
  </si>
  <si>
    <t>PEARSALL</t>
  </si>
  <si>
    <t>TXSPL</t>
  </si>
  <si>
    <t>txspl</t>
  </si>
  <si>
    <t>PL</t>
  </si>
  <si>
    <t>XJ6787</t>
  </si>
  <si>
    <t>PHRRTXPH</t>
  </si>
  <si>
    <t>PHARR</t>
  </si>
  <si>
    <t>TXSPH</t>
  </si>
  <si>
    <t>txsph</t>
  </si>
  <si>
    <t>PH</t>
  </si>
  <si>
    <t>WL7217</t>
  </si>
  <si>
    <t>PNHRTXPN</t>
  </si>
  <si>
    <t>PINEHURST</t>
  </si>
  <si>
    <t>TXHPI</t>
  </si>
  <si>
    <t>txhpi</t>
  </si>
  <si>
    <t>PI</t>
  </si>
  <si>
    <t>WZ7736</t>
  </si>
  <si>
    <t>PTARTXPE</t>
  </si>
  <si>
    <t>PORT ARTHUR PERSHING</t>
  </si>
  <si>
    <t>PERSHING</t>
  </si>
  <si>
    <t>TXHPP</t>
  </si>
  <si>
    <t>txhpp</t>
  </si>
  <si>
    <t>PP</t>
  </si>
  <si>
    <t>WZ7962</t>
  </si>
  <si>
    <t>PTARTXWO</t>
  </si>
  <si>
    <t>PORT ARTHUR WOODLAWN</t>
  </si>
  <si>
    <t>WOODLAWN</t>
  </si>
  <si>
    <t>TXHWO</t>
  </si>
  <si>
    <t>txhwo</t>
  </si>
  <si>
    <t>WO</t>
  </si>
  <si>
    <t>WZ7982</t>
  </si>
  <si>
    <t>PTARTXYU</t>
  </si>
  <si>
    <t>PORT ARTHUR YUKON</t>
  </si>
  <si>
    <t>YUKON</t>
  </si>
  <si>
    <t>TXHYK</t>
  </si>
  <si>
    <t>txhyk</t>
  </si>
  <si>
    <t>YK</t>
  </si>
  <si>
    <t>WN5684</t>
  </si>
  <si>
    <t>PTBLTXPT</t>
  </si>
  <si>
    <t>PORT BOLIVAR</t>
  </si>
  <si>
    <t>XJ5943</t>
  </si>
  <si>
    <t>PTISTXPI</t>
  </si>
  <si>
    <t>PORT ISABEL</t>
  </si>
  <si>
    <t>TXSPI</t>
  </si>
  <si>
    <t>txspi</t>
  </si>
  <si>
    <t>W89857</t>
  </si>
  <si>
    <t>PRVWTXPR</t>
  </si>
  <si>
    <t>PRAIRIE VIEW</t>
  </si>
  <si>
    <t>TXHPV</t>
  </si>
  <si>
    <t>txhpv</t>
  </si>
  <si>
    <t>PV</t>
  </si>
  <si>
    <t>W87774</t>
  </si>
  <si>
    <t>HSTNTXPR</t>
  </si>
  <si>
    <t>PRESCOTT</t>
  </si>
  <si>
    <t>TXHPR</t>
  </si>
  <si>
    <t>txhpr</t>
  </si>
  <si>
    <t>PR</t>
  </si>
  <si>
    <t>XX8757</t>
  </si>
  <si>
    <t>QUEMADO</t>
  </si>
  <si>
    <t>XJ8526</t>
  </si>
  <si>
    <t>REFGTXRF</t>
  </si>
  <si>
    <t>REFUGIO</t>
  </si>
  <si>
    <t>TXSRF</t>
  </si>
  <si>
    <t>txsrf</t>
  </si>
  <si>
    <t>RF</t>
  </si>
  <si>
    <t>WK4734</t>
  </si>
  <si>
    <t>HSTNTXRE</t>
  </si>
  <si>
    <t>REPUBLIC</t>
  </si>
  <si>
    <t>TXHRE</t>
  </si>
  <si>
    <t>txhre</t>
  </si>
  <si>
    <t>RE</t>
  </si>
  <si>
    <t>W89232</t>
  </si>
  <si>
    <t>RSBGTXRR</t>
  </si>
  <si>
    <t>RICH-ROSE</t>
  </si>
  <si>
    <t>ROSENBURG</t>
  </si>
  <si>
    <t>TXHRR</t>
  </si>
  <si>
    <t>txhrr</t>
  </si>
  <si>
    <t>RR</t>
  </si>
  <si>
    <t>XJ5748</t>
  </si>
  <si>
    <t>RHNDTXRH</t>
  </si>
  <si>
    <t>RIO HONDO</t>
  </si>
  <si>
    <t>TXSRH</t>
  </si>
  <si>
    <t>txsrh</t>
  </si>
  <si>
    <t>RH</t>
  </si>
  <si>
    <t>WK7747</t>
  </si>
  <si>
    <t>HSTNTXRI</t>
  </si>
  <si>
    <t>RIVERSIDE</t>
  </si>
  <si>
    <t>TXHRI</t>
  </si>
  <si>
    <t>txhri</t>
  </si>
  <si>
    <t>RI</t>
  </si>
  <si>
    <t>XJ4729</t>
  </si>
  <si>
    <t>RCPTTXRP</t>
  </si>
  <si>
    <t>ROCKPORT</t>
  </si>
  <si>
    <t>TXSRT</t>
  </si>
  <si>
    <t>txsrt</t>
  </si>
  <si>
    <t>RT</t>
  </si>
  <si>
    <t>XX8988</t>
  </si>
  <si>
    <t>SBNLTXSB</t>
  </si>
  <si>
    <t>SABINAL</t>
  </si>
  <si>
    <t>TXSSL</t>
  </si>
  <si>
    <t>txssl</t>
  </si>
  <si>
    <t>SL</t>
  </si>
  <si>
    <t>WZ7971</t>
  </si>
  <si>
    <t>SBPSTXSB</t>
  </si>
  <si>
    <t>SABINE PASS</t>
  </si>
  <si>
    <t>TXHSP</t>
  </si>
  <si>
    <t>txhsp</t>
  </si>
  <si>
    <t>SP</t>
  </si>
  <si>
    <t>XJ5399</t>
  </si>
  <si>
    <t>SNBNTXSB</t>
  </si>
  <si>
    <t>SAN BENITO</t>
  </si>
  <si>
    <t>TXSSB</t>
  </si>
  <si>
    <t>txssb</t>
  </si>
  <si>
    <t>SB</t>
  </si>
  <si>
    <t>XJ4279</t>
  </si>
  <si>
    <t>SNDGTXSD</t>
  </si>
  <si>
    <t>SAN DIEGO</t>
  </si>
  <si>
    <t>TXSSD</t>
  </si>
  <si>
    <t>txssd</t>
  </si>
  <si>
    <t>SD</t>
  </si>
  <si>
    <t>WL4469</t>
  </si>
  <si>
    <t>HSTNTXSA</t>
  </si>
  <si>
    <t>SATSUMA</t>
  </si>
  <si>
    <t>TXHSA</t>
  </si>
  <si>
    <t>txhsa</t>
  </si>
  <si>
    <t>SA</t>
  </si>
  <si>
    <t>WK9474</t>
  </si>
  <si>
    <t>HSTNTXSE</t>
  </si>
  <si>
    <t>SEABROOK</t>
  </si>
  <si>
    <t>TXHSE</t>
  </si>
  <si>
    <t>txhse</t>
  </si>
  <si>
    <t>W89885</t>
  </si>
  <si>
    <t>SELYTXSE</t>
  </si>
  <si>
    <t>SEALY</t>
  </si>
  <si>
    <t>TXHSY</t>
  </si>
  <si>
    <t>txhsy</t>
  </si>
  <si>
    <t>SY</t>
  </si>
  <si>
    <t>W76456</t>
  </si>
  <si>
    <t>HSTNTXSH</t>
  </si>
  <si>
    <t>SHELDON</t>
  </si>
  <si>
    <t>TXHSH</t>
  </si>
  <si>
    <t>txhsh</t>
  </si>
  <si>
    <t>SH</t>
  </si>
  <si>
    <t>XC2594</t>
  </si>
  <si>
    <t>SHNRTXSH</t>
  </si>
  <si>
    <t>SHINER</t>
  </si>
  <si>
    <t>TXSSR</t>
  </si>
  <si>
    <t>txssr</t>
  </si>
  <si>
    <t>SR</t>
  </si>
  <si>
    <t>WZ4455</t>
  </si>
  <si>
    <t>SLSBTXSL</t>
  </si>
  <si>
    <t>SILSBEE</t>
  </si>
  <si>
    <t>TXHSI</t>
  </si>
  <si>
    <t>txhsi</t>
  </si>
  <si>
    <t>SI</t>
  </si>
  <si>
    <t>XJ4364</t>
  </si>
  <si>
    <t>SINTTXSI</t>
  </si>
  <si>
    <t>SINTON</t>
  </si>
  <si>
    <t>TXSSI</t>
  </si>
  <si>
    <t>txssi</t>
  </si>
  <si>
    <t>XJ8287</t>
  </si>
  <si>
    <t>SKDMTXSK</t>
  </si>
  <si>
    <t>SKIDMORE</t>
  </si>
  <si>
    <t>TXSSK</t>
  </si>
  <si>
    <t>txssk</t>
  </si>
  <si>
    <t>SK</t>
  </si>
  <si>
    <t>W89545</t>
  </si>
  <si>
    <t>SMLKTXSM</t>
  </si>
  <si>
    <t xml:space="preserve">SMITHERS LAKE </t>
  </si>
  <si>
    <t>SMITHERS LAKE</t>
  </si>
  <si>
    <t>TXHSL</t>
  </si>
  <si>
    <t>txhsl</t>
  </si>
  <si>
    <t>WZ3287</t>
  </si>
  <si>
    <t>SRLKTXSR</t>
  </si>
  <si>
    <t xml:space="preserve">SOUR LAKE </t>
  </si>
  <si>
    <t>SOUR LAKE</t>
  </si>
  <si>
    <t>TXHSR</t>
  </si>
  <si>
    <t>txhsr</t>
  </si>
  <si>
    <t>XJ5761</t>
  </si>
  <si>
    <t>PTISTXSP</t>
  </si>
  <si>
    <t>SOUTH PADRE ISLAND</t>
  </si>
  <si>
    <t>TXSSP</t>
  </si>
  <si>
    <t>txssp</t>
  </si>
  <si>
    <t>WL3689</t>
  </si>
  <si>
    <t>SPLDTXSP</t>
  </si>
  <si>
    <t>SPLENDORA</t>
  </si>
  <si>
    <t>TXHSD</t>
  </si>
  <si>
    <t>txhsd</t>
  </si>
  <si>
    <t>WL7276</t>
  </si>
  <si>
    <t>SPRNTXNO</t>
  </si>
  <si>
    <t>SPRING NORTH</t>
  </si>
  <si>
    <t>TXHSN</t>
  </si>
  <si>
    <t>txhsn</t>
  </si>
  <si>
    <t>SN</t>
  </si>
  <si>
    <t>WL7360</t>
  </si>
  <si>
    <t>SPRNTXSO</t>
  </si>
  <si>
    <t>SPRING SOUTH</t>
  </si>
  <si>
    <t>TXHSS</t>
  </si>
  <si>
    <t>txhss</t>
  </si>
  <si>
    <t>SS</t>
  </si>
  <si>
    <t>WZ4475</t>
  </si>
  <si>
    <t>SPRGTXSP</t>
  </si>
  <si>
    <t>SPURGER</t>
  </si>
  <si>
    <t>TXHHS</t>
  </si>
  <si>
    <t>txhhs</t>
  </si>
  <si>
    <t>HS</t>
  </si>
  <si>
    <t>XJ6485</t>
  </si>
  <si>
    <t>SLCYTXSC</t>
  </si>
  <si>
    <t>SULLIVAN CITY</t>
  </si>
  <si>
    <t>TXSSU</t>
  </si>
  <si>
    <t>txssu</t>
  </si>
  <si>
    <t>SU</t>
  </si>
  <si>
    <t>W85781</t>
  </si>
  <si>
    <t>HSTNTXSU</t>
  </si>
  <si>
    <t>SUNSET</t>
  </si>
  <si>
    <t>TXHSU</t>
  </si>
  <si>
    <t>txhsu</t>
  </si>
  <si>
    <t>WN5948</t>
  </si>
  <si>
    <t>TXCYTXTC</t>
  </si>
  <si>
    <t>TEXAS CITY</t>
  </si>
  <si>
    <t>TXHTC</t>
  </si>
  <si>
    <t>txhtc</t>
  </si>
  <si>
    <t>TC</t>
  </si>
  <si>
    <t>WL7379</t>
  </si>
  <si>
    <t>TBLLTXTB</t>
  </si>
  <si>
    <t>TOMBALL</t>
  </si>
  <si>
    <t>TXHTB</t>
  </si>
  <si>
    <t>txhtb</t>
  </si>
  <si>
    <t>TB</t>
  </si>
  <si>
    <t>XJ4882</t>
  </si>
  <si>
    <t>CRCHTXTU</t>
  </si>
  <si>
    <t>TULIP</t>
  </si>
  <si>
    <t>TXSTU</t>
  </si>
  <si>
    <t>txstu</t>
  </si>
  <si>
    <t>TU</t>
  </si>
  <si>
    <t>WL9183</t>
  </si>
  <si>
    <t>HSTNTXUN</t>
  </si>
  <si>
    <t xml:space="preserve">UNDERWOOD </t>
  </si>
  <si>
    <t>UNDERWOOD</t>
  </si>
  <si>
    <t>TXHUN</t>
  </si>
  <si>
    <t>txhun</t>
  </si>
  <si>
    <t>UN</t>
  </si>
  <si>
    <t>XX8278</t>
  </si>
  <si>
    <t>UVLDTXUV</t>
  </si>
  <si>
    <t>UVALDE</t>
  </si>
  <si>
    <t>TXSUV</t>
  </si>
  <si>
    <t>txsuv</t>
  </si>
  <si>
    <t>W89533</t>
  </si>
  <si>
    <t>VLLDTXVL</t>
  </si>
  <si>
    <t>VALLEY LODGE</t>
  </si>
  <si>
    <t>TXHVL</t>
  </si>
  <si>
    <t>txhvl</t>
  </si>
  <si>
    <t>XC2573</t>
  </si>
  <si>
    <t>VCTATXVI</t>
  </si>
  <si>
    <t>VICTORIA</t>
  </si>
  <si>
    <t>TXSVI</t>
  </si>
  <si>
    <t>txsvi</t>
  </si>
  <si>
    <t>VI</t>
  </si>
  <si>
    <t>WZ3769</t>
  </si>
  <si>
    <t>VDORTXRO</t>
  </si>
  <si>
    <t>VIDOR ROCKWELL</t>
  </si>
  <si>
    <t>TXHVI</t>
  </si>
  <si>
    <t>txhvi</t>
  </si>
  <si>
    <t>WZ3768</t>
  </si>
  <si>
    <t>VIDOR SOUTH</t>
  </si>
  <si>
    <t>WZ3786</t>
  </si>
  <si>
    <t>VDORTXSU</t>
  </si>
  <si>
    <t>VIDOR SUNSET</t>
  </si>
  <si>
    <t>TXHVS</t>
  </si>
  <si>
    <t>txhvs</t>
  </si>
  <si>
    <t>VS</t>
  </si>
  <si>
    <t>W89372</t>
  </si>
  <si>
    <t>WLLRTXWL</t>
  </si>
  <si>
    <t>WALLER</t>
  </si>
  <si>
    <t>TXHWR</t>
  </si>
  <si>
    <t>txhwr</t>
  </si>
  <si>
    <t>WR</t>
  </si>
  <si>
    <t>WK7921</t>
  </si>
  <si>
    <t>HSTNTXWA</t>
  </si>
  <si>
    <t>WALNUT</t>
  </si>
  <si>
    <t>TXHWA</t>
  </si>
  <si>
    <t>txhwa</t>
  </si>
  <si>
    <t>WA</t>
  </si>
  <si>
    <t>WZ4301</t>
  </si>
  <si>
    <t>WRRNTXWR</t>
  </si>
  <si>
    <t>WARREN</t>
  </si>
  <si>
    <t>TXHWN</t>
  </si>
  <si>
    <t>txhwn</t>
  </si>
  <si>
    <t>WN</t>
  </si>
  <si>
    <t>WZ3753</t>
  </si>
  <si>
    <t>WBRYTXWB</t>
  </si>
  <si>
    <t>WESTBURY</t>
  </si>
  <si>
    <t>TXHWB</t>
  </si>
  <si>
    <t>txhwb</t>
  </si>
  <si>
    <t>WB</t>
  </si>
  <si>
    <t>W77002</t>
  </si>
  <si>
    <t>HSTNTXWE</t>
  </si>
  <si>
    <t>WESTFIELD</t>
  </si>
  <si>
    <t>TXHWE</t>
  </si>
  <si>
    <t>txhwe</t>
  </si>
  <si>
    <t>WE</t>
  </si>
  <si>
    <t>W83532</t>
  </si>
  <si>
    <t>WHTNTXWH</t>
  </si>
  <si>
    <t>WHARTON</t>
  </si>
  <si>
    <t>TXHWH</t>
  </si>
  <si>
    <t>txhwh</t>
  </si>
  <si>
    <t>WH</t>
  </si>
  <si>
    <t>WZ4309</t>
  </si>
  <si>
    <t>WLWDTXWL</t>
  </si>
  <si>
    <t>WILDWOOD</t>
  </si>
  <si>
    <t>TXHWI</t>
  </si>
  <si>
    <t>txhwi</t>
  </si>
  <si>
    <t>WI</t>
  </si>
  <si>
    <t>XJ8543</t>
  </si>
  <si>
    <t>WDBOTXWB</t>
  </si>
  <si>
    <t>WOODSBORO</t>
  </si>
  <si>
    <t>TXSWO</t>
  </si>
  <si>
    <t>txswo</t>
  </si>
  <si>
    <t>WZ4515</t>
  </si>
  <si>
    <t>WDVLTXWD</t>
  </si>
  <si>
    <t>WOODVILLE</t>
  </si>
  <si>
    <t>TXHWV</t>
  </si>
  <si>
    <t>txhwv</t>
  </si>
  <si>
    <t>WV</t>
  </si>
  <si>
    <t>WK4991</t>
  </si>
  <si>
    <t>HSTNTXWY</t>
  </si>
  <si>
    <t>WYDOWN</t>
  </si>
  <si>
    <t>TXHWY</t>
  </si>
  <si>
    <t>txhwy</t>
  </si>
  <si>
    <t>WY</t>
  </si>
  <si>
    <t>XJ4991</t>
  </si>
  <si>
    <t>CRCHTXWY</t>
  </si>
  <si>
    <t>WYMAN</t>
  </si>
  <si>
    <t>TXSWY</t>
  </si>
  <si>
    <t>txswy</t>
  </si>
  <si>
    <t>XC2293</t>
  </si>
  <si>
    <t>YKUMTXYK</t>
  </si>
  <si>
    <t>YOAKUM</t>
  </si>
  <si>
    <t>TXSYK</t>
  </si>
  <si>
    <t>txsyk</t>
  </si>
  <si>
    <t>XC2564</t>
  </si>
  <si>
    <t>YRTWTXYT</t>
  </si>
  <si>
    <t>YORKTOWN</t>
  </si>
  <si>
    <t>TXSYT</t>
  </si>
  <si>
    <t>txsyt</t>
  </si>
  <si>
    <t>YT</t>
  </si>
  <si>
    <t>XX8765</t>
  </si>
  <si>
    <t>ZPTATXZA</t>
  </si>
  <si>
    <t>ZAPATA</t>
  </si>
  <si>
    <t>TXSZA</t>
  </si>
  <si>
    <t>txsza</t>
  </si>
  <si>
    <t>ZA</t>
  </si>
  <si>
    <t>ASE AREAS COVERED</t>
  </si>
  <si>
    <t>WC</t>
  </si>
  <si>
    <t>BID ZONE</t>
  </si>
  <si>
    <t>BID ZONE:</t>
  </si>
  <si>
    <t>ARTICLE</t>
  </si>
  <si>
    <t>SUPPLIER #</t>
  </si>
  <si>
    <t>SHORT NAME</t>
  </si>
  <si>
    <t>SUPPLIER</t>
  </si>
  <si>
    <t>PRICE</t>
  </si>
  <si>
    <t>AMDOCS</t>
  </si>
  <si>
    <t>5481S</t>
  </si>
  <si>
    <t>AMDOCS, INC</t>
  </si>
  <si>
    <t>5201S</t>
  </si>
  <si>
    <t>PEARCE SERVICES LLC</t>
  </si>
  <si>
    <t>PEARCE</t>
  </si>
  <si>
    <t>3958SW</t>
  </si>
  <si>
    <t>TRUENET COMMUNICATIONS CORP</t>
  </si>
  <si>
    <t>TRUENET</t>
  </si>
  <si>
    <t>5018SW</t>
  </si>
  <si>
    <t>AMSYS INNOVATIVE SOLUTIONS</t>
  </si>
  <si>
    <t>AMSYS</t>
  </si>
  <si>
    <t>5643SW</t>
  </si>
  <si>
    <t>GW COMMUNICATION SOLUTIONS</t>
  </si>
  <si>
    <t>1978SW</t>
  </si>
  <si>
    <t>BYERS</t>
  </si>
  <si>
    <t>3978SW</t>
  </si>
  <si>
    <t>GCP TECHNOLOGIES LLC</t>
  </si>
  <si>
    <t>GCP</t>
  </si>
  <si>
    <t>5486SW</t>
  </si>
  <si>
    <t>LANDDEV CONSULTING LLC</t>
  </si>
  <si>
    <t>LANDDEV</t>
  </si>
  <si>
    <t>5605SW</t>
  </si>
  <si>
    <t>DRAFTPROS LLC DBA DRAFTPROS</t>
  </si>
  <si>
    <t>DRAFTPROS</t>
  </si>
  <si>
    <t>2015SW</t>
  </si>
  <si>
    <t>UNITED</t>
  </si>
  <si>
    <t>2496S</t>
  </si>
  <si>
    <t>CHC COMMUNICATIONS</t>
  </si>
  <si>
    <t>CHC</t>
  </si>
  <si>
    <t>4169S</t>
  </si>
  <si>
    <t>BLACK &amp; VEATCH CORPORATION</t>
  </si>
  <si>
    <t>4236SW</t>
  </si>
  <si>
    <t>R&amp;H COMMUNICATIONS SERVICES</t>
  </si>
  <si>
    <t>3062S</t>
  </si>
  <si>
    <t>DAVID D. DEBAUCHE</t>
  </si>
  <si>
    <t>DEBAUCHE</t>
  </si>
  <si>
    <t>3431SW</t>
  </si>
  <si>
    <t>TELECOM STAFFING LLC C/O ATT</t>
  </si>
  <si>
    <t>TS</t>
  </si>
  <si>
    <t>Supplier #</t>
  </si>
  <si>
    <t>Supplier Long name</t>
  </si>
  <si>
    <t>Supplier short name</t>
  </si>
  <si>
    <t>BLANK1</t>
  </si>
  <si>
    <t>BLANK2</t>
  </si>
  <si>
    <t>BLANK3</t>
  </si>
  <si>
    <t>BLANK4</t>
  </si>
  <si>
    <t>BLANK5</t>
  </si>
  <si>
    <t>BLANK CONTRACTOR 1</t>
  </si>
  <si>
    <t>BLANK CONTRACTOR 2</t>
  </si>
  <si>
    <t>BLANK CONTRACTOR 3</t>
  </si>
  <si>
    <t>BLANK CONTRACTOR 4</t>
  </si>
  <si>
    <t>BLANK CONTRACTOR 5</t>
  </si>
  <si>
    <t>BC1</t>
  </si>
  <si>
    <t>BC2</t>
  </si>
  <si>
    <t>BC3</t>
  </si>
  <si>
    <t>BC4</t>
  </si>
  <si>
    <t>BC5</t>
  </si>
  <si>
    <t>INSTRUCTIONS</t>
  </si>
  <si>
    <t>1. INPUT SUPPLIER NAME</t>
  </si>
  <si>
    <t>NOTE: MAY NEED TO ADD NEW SUPPLIERS TO LIST ON INFO TABLE- SOME BLANKS AVAILABLE. IF GO PAST, YOU WILL HAVE TO UPDATE THE RANGE IN THE FORMULAS FOR "CONTRACTOR INPUT CELL A1" AND "CALC CELL L3"</t>
  </si>
  <si>
    <t>THE OUTPUT OF "CONTRACTOR INPUT - CELL F2 IS NAMED "SUPPLIER", IT  FEEDS A1 ON SAME PAGE AND "CALC CELL H2 AND L2"</t>
  </si>
  <si>
    <t>CALC CELL L2 FEEDS CELLS B78, H78, J78 ON SAME PAGE</t>
  </si>
  <si>
    <t>2. UPDATE VERSION # AS NEEDED</t>
  </si>
  <si>
    <t>3. INPUT PRICING ON INFO-P TAB STARTING IN CELL C2</t>
  </si>
  <si>
    <t>4. HIDE TABS</t>
  </si>
  <si>
    <t>5. PROTECT SHEET</t>
  </si>
  <si>
    <t>6. PROTECT WORKBOOK</t>
  </si>
  <si>
    <t>7. SAVE AS</t>
  </si>
  <si>
    <t>NOTES</t>
  </si>
  <si>
    <t>GET PRICING FROM FBS DATA COLLECTION SHEET- 'VALUES ONLY DATA' TAB - FILTERED BY SUPLLIER</t>
  </si>
  <si>
    <t>things to check on new templates</t>
  </si>
  <si>
    <t>Make sure the formulas in CALC form in column K go down low enough on the sheet to capture all the information. Right now they go down 1000 rows</t>
  </si>
  <si>
    <t>Check to make sure all articles including MISC populate in ALL bid zones</t>
  </si>
  <si>
    <t>PASTE PRICING IN 'INFO-P' TAB IN COLUMNS B THROUGH G-  A IS A FORMULA</t>
  </si>
  <si>
    <t>UNIQUE ID- FORMULA!</t>
  </si>
  <si>
    <t xml:space="preserve">There is a macro built to unhide and turn the colors of the cells on front page in columns j, k, &amp; l to make them visible. Note, you must do this or an iphone will automatically show pricing when this document is opened with the i-phone. </t>
  </si>
  <si>
    <t>HSTNCT</t>
  </si>
  <si>
    <t xml:space="preserve">FLOUR BLUFF </t>
  </si>
  <si>
    <t>QUEMADA</t>
  </si>
  <si>
    <t>CC TULIP</t>
  </si>
  <si>
    <t>EACH</t>
  </si>
  <si>
    <t>PER POLE</t>
  </si>
  <si>
    <t>PER LOCATION</t>
  </si>
  <si>
    <t>TESinc LLC</t>
  </si>
  <si>
    <t>4181SW</t>
  </si>
  <si>
    <t>TESINC</t>
  </si>
  <si>
    <t>TRIANGLE DRAFTING</t>
  </si>
  <si>
    <t>2620SW</t>
  </si>
  <si>
    <t>TRIANGLE</t>
  </si>
  <si>
    <t>MASON INVESTMENTS</t>
  </si>
  <si>
    <t>2787SW</t>
  </si>
  <si>
    <t>MASON</t>
  </si>
  <si>
    <t>COBB FENDLEY &amp; ASSOCIATES, INC.</t>
  </si>
  <si>
    <t>1986SW</t>
  </si>
  <si>
    <t>CFA</t>
  </si>
  <si>
    <t>3750S</t>
  </si>
  <si>
    <t>PIVOTAL COMMUNICATIONS</t>
  </si>
  <si>
    <t>PIVOTAL</t>
  </si>
  <si>
    <t>ESU00A</t>
  </si>
  <si>
    <t>EWO Start Up Package</t>
  </si>
  <si>
    <t>EACH EWO</t>
  </si>
  <si>
    <t>ERE00A</t>
  </si>
  <si>
    <t>EWO Revision</t>
  </si>
  <si>
    <t>PER PRINT</t>
  </si>
  <si>
    <t>ACE00A</t>
  </si>
  <si>
    <t>CEEOT Entry – Per OSPCM line item – Add on to ACE02A or ACE04A</t>
  </si>
  <si>
    <t>PER LINE</t>
  </si>
  <si>
    <t>ACE02A</t>
  </si>
  <si>
    <t>CEEOT Entry – TELCO Only – Not combined with ACE04A</t>
  </si>
  <si>
    <t>EWO</t>
  </si>
  <si>
    <t>ACE04A</t>
  </si>
  <si>
    <t>CEEOT Entry – Equipment Vendor Required – Not combined with ACE02A</t>
  </si>
  <si>
    <t>ACA00A</t>
  </si>
  <si>
    <t>Cable placement all work environments (Does not include new cable in existing structure)</t>
  </si>
  <si>
    <t>SHEATH FT</t>
  </si>
  <si>
    <t>ACA02A</t>
  </si>
  <si>
    <t>Cable placement in existing Structure</t>
  </si>
  <si>
    <t>ACA04A</t>
  </si>
  <si>
    <t>Remove/Abandon Cable</t>
  </si>
  <si>
    <t>ACA06A</t>
  </si>
  <si>
    <t>CABLE /FIBER (PLACING) PARALLEL All Environments</t>
  </si>
  <si>
    <t>ACA08A</t>
  </si>
  <si>
    <t>CABLE/FIBER (RELOCATION) - All Environments</t>
  </si>
  <si>
    <t>ACA10A</t>
  </si>
  <si>
    <t>ACA12A</t>
  </si>
  <si>
    <t>AMH00A</t>
  </si>
  <si>
    <t>New Pre-Cast Manhole</t>
  </si>
  <si>
    <t>MANHOLE</t>
  </si>
  <si>
    <t>AMH02A</t>
  </si>
  <si>
    <t>New Cast-in-Place manhole</t>
  </si>
  <si>
    <t>AMH04A</t>
  </si>
  <si>
    <t>Conduit in Manhole System</t>
  </si>
  <si>
    <t>TRENCH FT</t>
  </si>
  <si>
    <t>AMH06A</t>
  </si>
  <si>
    <t>Future Use Conduit or Innerduct</t>
  </si>
  <si>
    <t>PER FT</t>
  </si>
  <si>
    <t>AMH08A</t>
  </si>
  <si>
    <t>Conduit in Manhole SCALED PLAN/Plan and Profile</t>
  </si>
  <si>
    <t>TR FT</t>
  </si>
  <si>
    <t>AMH10A</t>
  </si>
  <si>
    <t>CONDUIT RELOCATION</t>
  </si>
  <si>
    <t>AMH12A</t>
  </si>
  <si>
    <t>Structural Inspection of MH - Pour in Place</t>
  </si>
  <si>
    <t>EACH MH</t>
  </si>
  <si>
    <t>AMH14A</t>
  </si>
  <si>
    <t>MANHOLE DETAIL – ELEVATIONS</t>
  </si>
  <si>
    <t>AMH16A</t>
  </si>
  <si>
    <t>MANHOLE FRAME/COVER ADJUSTMENT</t>
  </si>
  <si>
    <t>APO00A</t>
  </si>
  <si>
    <t>Place/Remove/Replace/Rearrange Pole</t>
  </si>
  <si>
    <t>APO02A</t>
  </si>
  <si>
    <t>Pole Intent Form</t>
  </si>
  <si>
    <t>ARD00A</t>
  </si>
  <si>
    <t>Issue EWO for Rodding Only</t>
  </si>
  <si>
    <t>PER LN FT</t>
  </si>
  <si>
    <t>ARD02A</t>
  </si>
  <si>
    <t>Issue MH Laydown for cable/duct Details in existing Manhole</t>
  </si>
  <si>
    <t>PER MH</t>
  </si>
  <si>
    <t>ASA00A</t>
  </si>
  <si>
    <t>SAI/PFP – Place/remove new box - All Sizes</t>
  </si>
  <si>
    <t>BOX</t>
  </si>
  <si>
    <t>ASA02A</t>
  </si>
  <si>
    <t>SAI/PFP – Retro or Add Blocks/Bracket - All sizes</t>
  </si>
  <si>
    <t>ASP00A</t>
  </si>
  <si>
    <t>Energize/cut-dead/Load/Un-load pairs/fibers</t>
  </si>
  <si>
    <t>ASU00A</t>
  </si>
  <si>
    <t>Subdivision Design</t>
  </si>
  <si>
    <t>LOTS SERVED</t>
  </si>
  <si>
    <t>ASU02A</t>
  </si>
  <si>
    <t>MDU Design</t>
  </si>
  <si>
    <t>PER TERMINAL</t>
  </si>
  <si>
    <t>ATE00A</t>
  </si>
  <si>
    <t>Terminal transfer - no cable placement</t>
  </si>
  <si>
    <t>PER 25 PRS/LOC</t>
  </si>
  <si>
    <t>ADL00A</t>
  </si>
  <si>
    <t>New DLE/FTTx Cabinet/Cust Prem - NEW cabinet</t>
  </si>
  <si>
    <t>SITE</t>
  </si>
  <si>
    <t>ADL02A</t>
  </si>
  <si>
    <t>Add/Rm Shelf(s) – DLE/FTTx/MUX - Existing site</t>
  </si>
  <si>
    <t>ADL04A</t>
  </si>
  <si>
    <t>Add/RM Minor DLE</t>
  </si>
  <si>
    <t>ADL06A</t>
  </si>
  <si>
    <t>DLE Battery Replacement</t>
  </si>
  <si>
    <t>ICP00A</t>
  </si>
  <si>
    <t>CPR Package, first building terminal</t>
  </si>
  <si>
    <t>ICP02A</t>
  </si>
  <si>
    <t>CPR Package, each additional Building Terminal (non co-located)</t>
  </si>
  <si>
    <t>ICP04A</t>
  </si>
  <si>
    <t>Modify CPR Package or Issue Partial CPR Package Single Building,
any type, First Building Terminal</t>
  </si>
  <si>
    <t>ICP06A</t>
  </si>
  <si>
    <t>Modify CPR Package or ISSUE Partial CPR Package, any type, Same Site,
Each additional building terminal (non co-located)</t>
  </si>
  <si>
    <t>IFI00A</t>
  </si>
  <si>
    <t>Fielding Only - Startup</t>
  </si>
  <si>
    <t>PER REQUEST</t>
  </si>
  <si>
    <t>IFI02A</t>
  </si>
  <si>
    <t>Fielding Only - Footage adder</t>
  </si>
  <si>
    <t>PER LINEAR FT</t>
  </si>
  <si>
    <t>IFI04A</t>
  </si>
  <si>
    <t>Fielding Only – Location adder (simple)</t>
  </si>
  <si>
    <t>IFI06A</t>
  </si>
  <si>
    <t>Fielding Only – Location adder (complex)</t>
  </si>
  <si>
    <t>IFI08A</t>
  </si>
  <si>
    <t>Fielding with CAD - Startup - Fielding in CAD with regional design tool.</t>
  </si>
  <si>
    <t>IFI10A</t>
  </si>
  <si>
    <t>Fielding with CAD Only - Footage adder</t>
  </si>
  <si>
    <t>IFI12A</t>
  </si>
  <si>
    <t>Fielding CAD Only - Location adder (simple)</t>
  </si>
  <si>
    <t>IFI14A</t>
  </si>
  <si>
    <t>Fielding CAD Only - Location adder (complex)</t>
  </si>
  <si>
    <t>IIN00A</t>
  </si>
  <si>
    <t>FIELD INSPECTIONS</t>
  </si>
  <si>
    <t>LOCATION</t>
  </si>
  <si>
    <t>IIN02A</t>
  </si>
  <si>
    <t>INSPECTIONS/FIELD MEETINGS - FIELD MEETING</t>
  </si>
  <si>
    <t>MEETING</t>
  </si>
  <si>
    <t>IIN04A</t>
  </si>
  <si>
    <t>PROVIDE GPS COORDINATES PER SPECIFIED FACILITY</t>
  </si>
  <si>
    <t>IIN06A</t>
  </si>
  <si>
    <t>POLE TESTING</t>
  </si>
  <si>
    <t>IIN08A</t>
  </si>
  <si>
    <t>IPO00A</t>
  </si>
  <si>
    <t>OCalc Fielding Standalone - No EWO</t>
  </si>
  <si>
    <t>IPO02A</t>
  </si>
  <si>
    <t>OCalc Processing</t>
  </si>
  <si>
    <t>IPO04A</t>
  </si>
  <si>
    <t>Field visit and/or office research resulting Issuance of PWO/Manual Request</t>
  </si>
  <si>
    <t>IPO06A</t>
  </si>
  <si>
    <t>Pole Tracking Database Management</t>
  </si>
  <si>
    <t>PER TICKET</t>
  </si>
  <si>
    <t>IPO08A</t>
  </si>
  <si>
    <t>PWO Preparation</t>
  </si>
  <si>
    <t>IPI00A</t>
  </si>
  <si>
    <t>Simple pole inventory/survey data collection</t>
  </si>
  <si>
    <t>IPI02A</t>
  </si>
  <si>
    <t>Complex pole inventory/survey data collection</t>
  </si>
  <si>
    <t>ISS00A</t>
  </si>
  <si>
    <t>Safety and Service Defects Office research only to provide answer/solution</t>
  </si>
  <si>
    <t>ISS02A</t>
  </si>
  <si>
    <t>Safety and Service Defects - Field visit and/or Office research resulting in issuance of PWO</t>
  </si>
  <si>
    <t>EACH PWO</t>
  </si>
  <si>
    <t>TPE00A</t>
  </si>
  <si>
    <t>PERMIT (APPLICATION AND SKETCH) - PREPARATION</t>
  </si>
  <si>
    <t>TPE02A</t>
  </si>
  <si>
    <t>PERMIT (APPLICATION AND SKETCH) - PREPERATION AND SUBMITTAL</t>
  </si>
  <si>
    <t>TPE04A</t>
  </si>
  <si>
    <t>PERMIT SCALED DRAWINGS ADD ON TO TEP00A, TPE02A and EWO Start Up package</t>
  </si>
  <si>
    <t>TPE06A</t>
  </si>
  <si>
    <t>Miscellaneous Permit Cost - application fees</t>
  </si>
  <si>
    <t>DOLLAR</t>
  </si>
  <si>
    <t>TCP00A</t>
  </si>
  <si>
    <t>Traffic Control Plan</t>
  </si>
  <si>
    <t>PLAN</t>
  </si>
  <si>
    <t>TOP00A</t>
  </si>
  <si>
    <t>TOPO - ONE SIDE OF CENTERLINE TO ROW LIMITS</t>
  </si>
  <si>
    <t>PROJECT</t>
  </si>
  <si>
    <t>TOP02A</t>
  </si>
  <si>
    <t>TOPO - Each ROD beyond ROW</t>
  </si>
  <si>
    <t>TOP04A</t>
  </si>
  <si>
    <t>ADDER - TOPO- ONE SIDE OF CENTERLINE TO ROW LIMITS</t>
  </si>
  <si>
    <t>PER 100 FT</t>
  </si>
  <si>
    <t>T0P06A</t>
  </si>
  <si>
    <t>ADDER - TOPO - Each ROD beyond ROW</t>
  </si>
  <si>
    <t>TOP08A</t>
  </si>
  <si>
    <t>TOPO - UPDATE EXISTING SURVEY/EXHIBIT- SAME SUPPLIER</t>
  </si>
  <si>
    <t>TPS00A</t>
  </si>
  <si>
    <t>Professional Engineering Stamp</t>
  </si>
  <si>
    <t>PER PROJECT</t>
  </si>
  <si>
    <t>CPL00A</t>
  </si>
  <si>
    <t>Basic Package</t>
  </si>
  <si>
    <t>EACH SITE</t>
  </si>
  <si>
    <t>CPL02A</t>
  </si>
  <si>
    <t>Complex Package - Not used with CPL00A</t>
  </si>
  <si>
    <t>CPL04A</t>
  </si>
  <si>
    <t>NEW RT OLT</t>
  </si>
  <si>
    <t>CPL06A</t>
  </si>
  <si>
    <t>PFP Package – Existing RT/CO OLT’s</t>
  </si>
  <si>
    <t>EACH PFP</t>
  </si>
  <si>
    <t>CPL08A</t>
  </si>
  <si>
    <t>FIG Input</t>
  </si>
  <si>
    <t>PER EWO</t>
  </si>
  <si>
    <t>CPL10A</t>
  </si>
  <si>
    <t>Standard ADSL</t>
  </si>
  <si>
    <t>CPL12A</t>
  </si>
  <si>
    <t>Complex ADSL</t>
  </si>
  <si>
    <t>CPL14A</t>
  </si>
  <si>
    <t>Database Conformance Component</t>
  </si>
  <si>
    <t>PER PLANET PACKAGE/EWO</t>
  </si>
  <si>
    <t>CPL16A</t>
  </si>
  <si>
    <t>Cutover Component</t>
  </si>
  <si>
    <t>MUX SITE</t>
  </si>
  <si>
    <t>CPL18A</t>
  </si>
  <si>
    <t>VRAD Package</t>
  </si>
  <si>
    <t>CPL20A</t>
  </si>
  <si>
    <t>PIB Request Form</t>
  </si>
  <si>
    <t>DCA00A</t>
  </si>
  <si>
    <t>CAD Only Startup</t>
  </si>
  <si>
    <t>DCA02A</t>
  </si>
  <si>
    <t>CAD Only Footage adder</t>
  </si>
  <si>
    <t>DCA04A</t>
  </si>
  <si>
    <t>CAD Only - DLE/Pole/Splice/Terminal location adder</t>
  </si>
  <si>
    <t>DCA06A</t>
  </si>
  <si>
    <t>CAD with Design</t>
  </si>
  <si>
    <t>DCA08A</t>
  </si>
  <si>
    <t>CAD with Design - Footage adder</t>
  </si>
  <si>
    <t>DCA10A</t>
  </si>
  <si>
    <t>CAD with Design - Footage adder – removed/abandoned cable</t>
  </si>
  <si>
    <t>DCA12A</t>
  </si>
  <si>
    <t>CAD with Design - Footage adder – standalone duct placed for future use</t>
  </si>
  <si>
    <t>DCA14A</t>
  </si>
  <si>
    <t>CAD with Design - Location adder (simple)</t>
  </si>
  <si>
    <t>DCA16A</t>
  </si>
  <si>
    <t>CAD with Design - Location adder (complex)</t>
  </si>
  <si>
    <t>ODA00A</t>
  </si>
  <si>
    <t>OSA Startup</t>
  </si>
  <si>
    <t>PER OSA</t>
  </si>
  <si>
    <t>ODA02A</t>
  </si>
  <si>
    <t>Fiber Cross Connect</t>
  </si>
  <si>
    <t>PER CROSS CONNECT</t>
  </si>
  <si>
    <t>ODA04A</t>
  </si>
  <si>
    <t>SBU or MDU building structure</t>
  </si>
  <si>
    <t>PER ADDRESSABLE BULDING STRUCTURE</t>
  </si>
  <si>
    <t>ODA06A</t>
  </si>
  <si>
    <t>Address Identified – Add on to ODA04A</t>
  </si>
  <si>
    <t xml:space="preserve">PER ADDRESS </t>
  </si>
  <si>
    <t>ODA08A</t>
  </si>
  <si>
    <t>Single Family Address</t>
  </si>
  <si>
    <t>PER LU</t>
  </si>
  <si>
    <t>SAC00A</t>
  </si>
  <si>
    <t>Structure Access Initial Review – Underground/Aerial</t>
  </si>
  <si>
    <t>SAC02A</t>
  </si>
  <si>
    <t>Develop cost estimate for make ready construction work – Underground/Aerial</t>
  </si>
  <si>
    <t>SAC04A</t>
  </si>
  <si>
    <t>Records, Posting, and/or Accounting Correction – No fielding required</t>
  </si>
  <si>
    <t>SAE00A</t>
  </si>
  <si>
    <t>Pole Inspection/Administration/Field Work - No EWO</t>
  </si>
  <si>
    <t>SUG00A</t>
  </si>
  <si>
    <t>Structure Access – Underground Field Survey</t>
  </si>
  <si>
    <t>SUG02A</t>
  </si>
  <si>
    <t>Structure Access Initial Review – Underground Adder</t>
  </si>
  <si>
    <t>ROW00A</t>
  </si>
  <si>
    <t>Resolve Customer Issues associated with ROW</t>
  </si>
  <si>
    <t>ROW02A</t>
  </si>
  <si>
    <t>EASEMENT ACQUISITION - STRIP EASEMENT - ALL INCLUSIVE - SURVEY</t>
  </si>
  <si>
    <t>ROW04A</t>
  </si>
  <si>
    <t>EASEMENT ACQUISITION - Strip Easement - ALL INCLUSIVE –
NO SURVEY REQUIRED</t>
  </si>
  <si>
    <t>ROW06A</t>
  </si>
  <si>
    <t>Legal Description - Easement Survey Exhibit - All Inclusive - No staking</t>
  </si>
  <si>
    <t>ROW08A</t>
  </si>
  <si>
    <t>Legal Description - Easement Survey Exhibit - Including Stake/Pin with Certified Surveyor Stamp</t>
  </si>
  <si>
    <t>ROW10A</t>
  </si>
  <si>
    <t>Chain of Title Search Per Single Property</t>
  </si>
  <si>
    <t>ROW12A</t>
  </si>
  <si>
    <t>Title Search For Last Deed - Per Single Property</t>
  </si>
  <si>
    <t>ROW14A</t>
  </si>
  <si>
    <t>Easement Acquisition</t>
  </si>
  <si>
    <t>ROW16A</t>
  </si>
  <si>
    <t>STAKE EASEMENT SITE - NO DRAWING OF WORK COMPLETED REQUIRED.</t>
  </si>
  <si>
    <t>ROW18A</t>
  </si>
  <si>
    <t>STAKE EASEMENT SITE - PROVIDE DRAWING OF WORK COMPLETED</t>
  </si>
  <si>
    <t>ROW20A</t>
  </si>
  <si>
    <t>STAKE ROW/PROPERTY LINE/PUE/STRIP-LEGAL DESCR NO DRAWING REQ</t>
  </si>
  <si>
    <t>ROW22A</t>
  </si>
  <si>
    <t>STAKE ROW/PROP LINE/PUE/STRIP-LEGAL DESCR PROVIDE WORK DRAWING</t>
  </si>
  <si>
    <t>ROW24A</t>
  </si>
  <si>
    <t>ADDER - STAKING - STAKE ROW/PROPERTY LINE/PUE/STRIP EASEMENT – LEGAL DESCRIPTION</t>
  </si>
  <si>
    <t>100 FT</t>
  </si>
  <si>
    <t>ROW26A</t>
  </si>
  <si>
    <t>STAKING-ADD EXISTING AND PROPOSED ELEVATION MARKS TO STAKES</t>
  </si>
  <si>
    <t>STAKE</t>
  </si>
  <si>
    <t>ROW28A</t>
  </si>
  <si>
    <t>SITE PLAN UP TO 1000 SQ FT</t>
  </si>
  <si>
    <t xml:space="preserve">SITE PLAN </t>
  </si>
  <si>
    <t>ROW30A</t>
  </si>
  <si>
    <t>ADDER - SITE PLAN &gt; THAN 1000 SQ FT</t>
  </si>
  <si>
    <t>SQ FT</t>
  </si>
  <si>
    <t>ROW32A</t>
  </si>
  <si>
    <t>POT HOLING - PROVIDE SURVEYOR TO DETERMINE ELEVATIONS OF FACILITIES IN POT HOLE.</t>
  </si>
  <si>
    <t>LMD00A</t>
  </si>
  <si>
    <t>INITIAL SCOPING - UTILITY LEVEL B</t>
  </si>
  <si>
    <t>FOOT</t>
  </si>
  <si>
    <t>LMD02A</t>
  </si>
  <si>
    <t>INITIAL SCOPING - UTILITY LEVEL C</t>
  </si>
  <si>
    <t>LMD04A</t>
  </si>
  <si>
    <t>INITIAL SCOPING – UTILITY LEVEL D</t>
  </si>
  <si>
    <t>LMD06A</t>
  </si>
  <si>
    <t>PLAN REVIEW</t>
  </si>
  <si>
    <t>PAGE</t>
  </si>
  <si>
    <t>LMD08A</t>
  </si>
  <si>
    <t>POT HOLE DESIGN - UTILITY LEVEL A</t>
  </si>
  <si>
    <t>HOLE</t>
  </si>
  <si>
    <t>LMD10A</t>
  </si>
  <si>
    <t>NEGOTIATE CONFLICT RESOLUTIONS - UTILITY LEVEL B - PER CONFLICT LOCATION</t>
  </si>
  <si>
    <t>LMD12A</t>
  </si>
  <si>
    <t>PLAN RECOMMENDATION/PARALLEL - PERPENDICULAR -PER CONFLICT LOCATION</t>
  </si>
  <si>
    <t>LMD14A</t>
  </si>
  <si>
    <t>Electronic Depth Locates</t>
  </si>
  <si>
    <t>MSC00A</t>
  </si>
  <si>
    <t>Miscellaneous - Labor</t>
  </si>
  <si>
    <t>MSC02A</t>
  </si>
  <si>
    <t>Miscellaneous - Non-Labor</t>
  </si>
  <si>
    <t>HLB00A</t>
  </si>
  <si>
    <t>Design/Project Engineer- BASE RATE</t>
  </si>
  <si>
    <t>HOUR</t>
  </si>
  <si>
    <t>HLB00P</t>
  </si>
  <si>
    <t>Design/Project Engineer- PREMIUM RATE</t>
  </si>
  <si>
    <t>HLB02A</t>
  </si>
  <si>
    <t>Field Engineer - BASE RATE</t>
  </si>
  <si>
    <t>HLB02P</t>
  </si>
  <si>
    <t>Field Engineer - PREMIUM RATE</t>
  </si>
  <si>
    <t>HLB04A</t>
  </si>
  <si>
    <t>Hourly Runner- BASE RATE</t>
  </si>
  <si>
    <t>HLB04P</t>
  </si>
  <si>
    <t>Hourly Runner- PREMIUM RATE</t>
  </si>
  <si>
    <t>HLB06A</t>
  </si>
  <si>
    <t>CIVIL ENGINEER- BASE RATE</t>
  </si>
  <si>
    <t>HLB06P</t>
  </si>
  <si>
    <t>CIVIL ENGINEER- PREMIUM RATE</t>
  </si>
  <si>
    <t>HLB08A</t>
  </si>
  <si>
    <t>STRUCTURAL ENGINEER- BASE RATE</t>
  </si>
  <si>
    <t>HLB08P</t>
  </si>
  <si>
    <t>STRUCTURAL ENGINEER- PREMIUM RATE</t>
  </si>
  <si>
    <t>HLB12A</t>
  </si>
  <si>
    <t>INSPECTOR - CONSTRUCTION- BASE RATE</t>
  </si>
  <si>
    <t>HLB12P</t>
  </si>
  <si>
    <t>INSPECTOR - CONSTRUCTION- PREMIUM RATE</t>
  </si>
  <si>
    <t>HLB14A</t>
  </si>
  <si>
    <t>REGISTERED PROFESSIONAL LAND SURVEYOR- BASE RATE</t>
  </si>
  <si>
    <t>HLB14P</t>
  </si>
  <si>
    <t>REGISTERED PROFESSIONAL LAND SURVEYOR- PREMIUM RATE</t>
  </si>
  <si>
    <t>HLB16A</t>
  </si>
  <si>
    <t>3-PERSON SURVEY CREW- BASE RATE</t>
  </si>
  <si>
    <t>HLB16P</t>
  </si>
  <si>
    <t>3-PERSON SURVEY CREW- PREMIUM RATE</t>
  </si>
  <si>
    <t>HLB18A</t>
  </si>
  <si>
    <t>2-PERSON SURVEY CREW- BASE RATE</t>
  </si>
  <si>
    <t>HLB18P</t>
  </si>
  <si>
    <t>2-PERSON SURVEY CREW- PREMIUM RATE</t>
  </si>
  <si>
    <t>WSC00A</t>
  </si>
  <si>
    <t>Candidate Review/Site Walk</t>
  </si>
  <si>
    <t>PER NODE/SCIP</t>
  </si>
  <si>
    <t>WSC02A</t>
  </si>
  <si>
    <t>Attachment Agreement/Pole Reservation</t>
  </si>
  <si>
    <t>WSM00A</t>
  </si>
  <si>
    <t>Compliance Review</t>
  </si>
  <si>
    <t xml:space="preserve">PER NODE </t>
  </si>
  <si>
    <t>WCD00A</t>
  </si>
  <si>
    <t>Construction Drawing</t>
  </si>
  <si>
    <t>PER SITE</t>
  </si>
  <si>
    <t>WCD02A</t>
  </si>
  <si>
    <t>Construction Drawing - Revision</t>
  </si>
  <si>
    <t>WCD04A</t>
  </si>
  <si>
    <t>Construction Drawing - Scaled Drawing and/or PE</t>
  </si>
  <si>
    <t>PER NODE</t>
  </si>
  <si>
    <t>WSA00A</t>
  </si>
  <si>
    <t>Submission of Structure Access Package</t>
  </si>
  <si>
    <t>WPM00A</t>
  </si>
  <si>
    <t>Permit - Zoning Request</t>
  </si>
  <si>
    <t>WPM02A</t>
  </si>
  <si>
    <t>Permit - Structure</t>
  </si>
  <si>
    <t>WPD00A</t>
  </si>
  <si>
    <t>Power Design and Coordination</t>
  </si>
  <si>
    <t>Cable placement-all work environments-Fiber  Overbuild/IFP/LightGig/Brownfield, etc. (Does not include new cable in existing structure)</t>
  </si>
  <si>
    <t>Cable placement in existing Structure-Fiber Overbuild/IFP/LightGig/Brownfield, etc.</t>
  </si>
  <si>
    <t>FILTER</t>
  </si>
  <si>
    <t>WC NAME (DROPDOWN)</t>
  </si>
  <si>
    <t>EP</t>
  </si>
  <si>
    <t>ROW</t>
  </si>
  <si>
    <t>CRAN</t>
  </si>
  <si>
    <t>CLASS</t>
  </si>
  <si>
    <t>EWO ADDER</t>
  </si>
  <si>
    <t>I/M/S/P</t>
  </si>
  <si>
    <t>PERMITS</t>
  </si>
  <si>
    <t>EQUIP EWO</t>
  </si>
  <si>
    <t>CAD</t>
  </si>
  <si>
    <t>OSA WORK</t>
  </si>
  <si>
    <t>STRUCT ACC</t>
  </si>
  <si>
    <t>LEGAL MAND</t>
  </si>
  <si>
    <t>MISCLABOR</t>
  </si>
  <si>
    <t>MISC OTHER</t>
  </si>
  <si>
    <t>HOURLY</t>
  </si>
  <si>
    <t>CIVIC</t>
  </si>
  <si>
    <t>EQUIP</t>
  </si>
  <si>
    <t>ESVA MKT</t>
  </si>
  <si>
    <t>COMBINED</t>
  </si>
  <si>
    <t>POLE</t>
  </si>
  <si>
    <t>JT</t>
  </si>
  <si>
    <t>PERMIT</t>
  </si>
  <si>
    <t>P.E.</t>
  </si>
  <si>
    <t>CWOT</t>
  </si>
  <si>
    <t>EQUP</t>
  </si>
  <si>
    <t>BYERS COMMUNICATIONS SOLUTIONS **ESVA ONLY**</t>
  </si>
  <si>
    <t>UNITED ENGINEERS, INC.  **ESVA ONLY**</t>
  </si>
  <si>
    <t>OLD BID ZONE</t>
  </si>
  <si>
    <t>NEW BID
ZONE</t>
  </si>
  <si>
    <t>ESVA CONTRACTOR</t>
  </si>
  <si>
    <t>TELECOM STAFFING</t>
  </si>
  <si>
    <t>ACA14A</t>
  </si>
  <si>
    <t>ACA16A</t>
  </si>
  <si>
    <t>Fiber Overbuild IQ Design Adder to EWO Startup</t>
  </si>
  <si>
    <t>LU/BCL</t>
  </si>
  <si>
    <t>Fiber Overbuild IQ Design – post Fielding complete</t>
  </si>
  <si>
    <t>NEW</t>
  </si>
  <si>
    <t>PFP - Wall mount</t>
  </si>
  <si>
    <t>ASA04A</t>
  </si>
  <si>
    <t>ICP08A</t>
  </si>
  <si>
    <t>ICP10A</t>
  </si>
  <si>
    <t>ICP12A</t>
  </si>
  <si>
    <t>LGE Site Visit (no contact or denied access)</t>
  </si>
  <si>
    <t>Virtual Site Visit - CPR Package, first building terminal.</t>
  </si>
  <si>
    <t>Virtual Site Visit - each additional building terminal (non co-lo)</t>
  </si>
  <si>
    <t>IFI16A</t>
  </si>
  <si>
    <t>Fielding Only – IQ</t>
  </si>
  <si>
    <t>IIN10A</t>
  </si>
  <si>
    <t>IIN12A</t>
  </si>
  <si>
    <t>Pole intrusive inspections</t>
  </si>
  <si>
    <t>Aerial Cable Inspection</t>
  </si>
  <si>
    <t>PER SPAN</t>
  </si>
  <si>
    <t>SAE02A</t>
  </si>
  <si>
    <t>SAE04A</t>
  </si>
  <si>
    <t>Make Ready/Pole Initial Application Processing</t>
  </si>
  <si>
    <t>Make Ready/Pole Additional Pole</t>
  </si>
  <si>
    <t>Structure Access - In Process Underground Inspection</t>
  </si>
  <si>
    <t>REMO</t>
  </si>
  <si>
    <t>SAME</t>
  </si>
  <si>
    <t>NWHSTN</t>
  </si>
  <si>
    <t>Not Priced At This Time.</t>
  </si>
  <si>
    <t>NEHSTN</t>
  </si>
  <si>
    <t>SWHSTN</t>
  </si>
  <si>
    <t>SEHSTN</t>
  </si>
  <si>
    <t>INPUT $ AMOUNT</t>
  </si>
  <si>
    <t>NEHST</t>
  </si>
  <si>
    <t>ECS40</t>
  </si>
  <si>
    <t>SWHST</t>
  </si>
  <si>
    <t>ECS42</t>
  </si>
  <si>
    <t>SEHST</t>
  </si>
  <si>
    <t>ECS41</t>
  </si>
  <si>
    <t>NWHST</t>
  </si>
  <si>
    <t>ECS44</t>
  </si>
  <si>
    <t>BYERS COMMUNICATIONS SOLUTIONS **ESVA 2.0 ONLY**</t>
  </si>
  <si>
    <t>TOPO - ONE SIDE OF CENTERLINE TO ROW LIMITS- UP TO 500'</t>
  </si>
  <si>
    <t>TOPO - Each ROD beyond ROW- UP TO 500'</t>
  </si>
  <si>
    <t>Explanation of MISC. Other with unit breakdown if any: MSC00A (# of business served)  BUSINESSES ADDRESSES @ $3=$0</t>
  </si>
  <si>
    <t>1128192</t>
  </si>
  <si>
    <t>DEER PARK-    SEHST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</si>
</sst>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&quot;$&quot;#,##0.00;[Red]&quot;$&quot;#,##0.00"/>
    <numFmt numFmtId="166" formatCode="&quot;$&quot;#,##0.00"/>
  </numFmts>
  <fonts count="1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4D79B"/>
        <bgColor rgb="FF000000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rgb="FFFF0000"/>
      </right>
      <top style="medium">
        <color rgb="FFFF0000"/>
      </top>
      <bottom/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122">
    <xf numFmtId="0" fontId="0" fillId="0" borderId="0" xfId="0"/>
    <xf numFmtId="0" fontId="0" fillId="2" borderId="1" xfId="0" applyFill="1" applyBorder="1" applyAlignment="1">
      <alignment horizontal="left" wrapText="1"/>
    </xf>
    <xf numFmtId="0" fontId="0" fillId="3" borderId="1" xfId="0" applyFill="1" applyBorder="1" applyAlignment="1">
      <alignment horizontal="left" wrapText="1"/>
    </xf>
    <xf numFmtId="0" fontId="1" fillId="3" borderId="5" xfId="0" applyFont="1" applyFill="1" applyBorder="1" applyAlignment="1">
      <alignment horizontal="center"/>
    </xf>
    <xf numFmtId="49" fontId="4" fillId="2" borderId="9" xfId="0" applyNumberFormat="1" applyFont="1" applyFill="1" applyBorder="1" applyAlignment="1" applyProtection="1">
      <alignment horizontal="center"/>
      <protection locked="0"/>
    </xf>
    <xf numFmtId="0" fontId="8" fillId="5" borderId="2" xfId="0" applyFont="1" applyFill="1" applyBorder="1" applyAlignment="1">
      <alignment horizontal="center" vertical="top" wrapText="1"/>
    </xf>
    <xf numFmtId="0" fontId="8" fillId="5" borderId="2" xfId="0" applyFont="1" applyFill="1" applyBorder="1" applyAlignment="1">
      <alignment horizontal="center" vertical="top"/>
    </xf>
    <xf numFmtId="0" fontId="6" fillId="6" borderId="20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/>
    <xf numFmtId="0" fontId="10" fillId="0" borderId="3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10" fillId="0" borderId="2" xfId="0" applyFont="1" applyBorder="1" applyAlignment="1">
      <alignment horizontal="center" vertical="center"/>
    </xf>
    <xf numFmtId="0" fontId="4" fillId="3" borderId="9" xfId="0" applyFont="1" applyFill="1" applyBorder="1" applyAlignment="1" applyProtection="1">
      <alignment horizontal="center"/>
      <protection locked="0"/>
    </xf>
    <xf numFmtId="0" fontId="0" fillId="0" borderId="12" xfId="0" applyBorder="1"/>
    <xf numFmtId="0" fontId="12" fillId="3" borderId="8" xfId="0" applyFont="1" applyFill="1" applyBorder="1" applyAlignment="1">
      <alignment horizontal="left" wrapText="1"/>
    </xf>
    <xf numFmtId="0" fontId="12" fillId="3" borderId="1" xfId="0" applyFont="1" applyFill="1" applyBorder="1"/>
    <xf numFmtId="0" fontId="0" fillId="0" borderId="5" xfId="0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11" fillId="0" borderId="0" xfId="0" applyFont="1"/>
    <xf numFmtId="0" fontId="1" fillId="0" borderId="0" xfId="0" applyFont="1"/>
    <xf numFmtId="0" fontId="1" fillId="0" borderId="19" xfId="0" applyFont="1" applyBorder="1"/>
    <xf numFmtId="14" fontId="0" fillId="0" borderId="1" xfId="0" applyNumberFormat="1" applyBorder="1" applyAlignment="1">
      <alignment horizontal="center"/>
    </xf>
    <xf numFmtId="166" fontId="7" fillId="3" borderId="3" xfId="0" applyNumberFormat="1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 vertical="top" wrapText="1"/>
    </xf>
    <xf numFmtId="166" fontId="7" fillId="0" borderId="0" xfId="0" applyNumberFormat="1" applyFont="1"/>
    <xf numFmtId="0" fontId="13" fillId="0" borderId="0" xfId="0" applyFont="1"/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9" borderId="0" xfId="0" applyFill="1"/>
    <xf numFmtId="165" fontId="7" fillId="7" borderId="0" xfId="0" applyNumberFormat="1" applyFont="1" applyFill="1"/>
    <xf numFmtId="0" fontId="0" fillId="0" borderId="0" xfId="0" applyAlignment="1">
      <alignment horizontal="left"/>
    </xf>
    <xf numFmtId="0" fontId="1" fillId="8" borderId="0" xfId="0" applyFont="1" applyFill="1"/>
    <xf numFmtId="0" fontId="0" fillId="3" borderId="3" xfId="0" applyFill="1" applyBorder="1"/>
    <xf numFmtId="0" fontId="0" fillId="0" borderId="3" xfId="0" applyBorder="1" applyAlignment="1" applyProtection="1">
      <alignment horizontal="center"/>
      <protection locked="0"/>
    </xf>
    <xf numFmtId="0" fontId="10" fillId="10" borderId="2" xfId="0" applyFont="1" applyFill="1" applyBorder="1"/>
    <xf numFmtId="0" fontId="0" fillId="3" borderId="19" xfId="0" applyFill="1" applyBorder="1" applyAlignment="1">
      <alignment horizontal="left" wrapText="1"/>
    </xf>
    <xf numFmtId="0" fontId="0" fillId="3" borderId="21" xfId="0" applyFill="1" applyBorder="1" applyAlignment="1">
      <alignment horizontal="left" wrapText="1"/>
    </xf>
    <xf numFmtId="49" fontId="4" fillId="2" borderId="9" xfId="0" applyNumberFormat="1" applyFont="1" applyFill="1" applyBorder="1" applyAlignment="1" applyProtection="1">
      <alignment horizontal="center" vertical="center"/>
      <protection locked="0"/>
    </xf>
    <xf numFmtId="0" fontId="10" fillId="0" borderId="2" xfId="0" applyFont="1" applyBorder="1"/>
    <xf numFmtId="165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wrapText="1" shrinkToFit="1"/>
    </xf>
    <xf numFmtId="166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vertical="top" wrapText="1"/>
    </xf>
    <xf numFmtId="0" fontId="0" fillId="6" borderId="2" xfId="0" applyFill="1" applyBorder="1" applyAlignment="1">
      <alignment horizontal="center"/>
    </xf>
    <xf numFmtId="0" fontId="0" fillId="0" borderId="0" xfId="0" applyProtection="1">
      <protection locked="0"/>
    </xf>
    <xf numFmtId="0" fontId="0" fillId="2" borderId="19" xfId="0" applyFill="1" applyBorder="1" applyAlignment="1" applyProtection="1">
      <alignment horizontal="left" wrapText="1"/>
      <protection locked="0"/>
    </xf>
    <xf numFmtId="0" fontId="0" fillId="2" borderId="1" xfId="0" applyFill="1" applyBorder="1" applyAlignment="1" applyProtection="1">
      <alignment horizontal="left" wrapText="1"/>
      <protection locked="0"/>
    </xf>
    <xf numFmtId="164" fontId="0" fillId="0" borderId="2" xfId="1" applyFont="1" applyBorder="1" applyAlignment="1" applyProtection="1">
      <alignment horizontal="center"/>
      <protection locked="0"/>
    </xf>
    <xf numFmtId="0" fontId="4" fillId="3" borderId="9" xfId="0" applyFont="1" applyFill="1" applyBorder="1" applyAlignment="1">
      <alignment horizontal="center"/>
    </xf>
    <xf numFmtId="0" fontId="10" fillId="10" borderId="2" xfId="0" applyFont="1" applyFill="1" applyBorder="1" applyAlignment="1">
      <alignment wrapText="1"/>
    </xf>
    <xf numFmtId="165" fontId="7" fillId="7" borderId="1" xfId="0" applyNumberFormat="1" applyFont="1" applyFill="1" applyBorder="1"/>
    <xf numFmtId="165" fontId="1" fillId="3" borderId="4" xfId="0" applyNumberFormat="1" applyFont="1" applyFill="1" applyBorder="1" applyAlignment="1">
      <alignment horizontal="center"/>
    </xf>
    <xf numFmtId="166" fontId="7" fillId="3" borderId="22" xfId="0" applyNumberFormat="1" applyFont="1" applyFill="1" applyBorder="1" applyAlignment="1">
      <alignment horizontal="center"/>
    </xf>
    <xf numFmtId="166" fontId="7" fillId="0" borderId="1" xfId="0" applyNumberFormat="1" applyFont="1" applyBorder="1"/>
    <xf numFmtId="0" fontId="1" fillId="0" borderId="0" xfId="0" applyFont="1" applyProtection="1">
      <protection locked="0"/>
    </xf>
    <xf numFmtId="0" fontId="0" fillId="8" borderId="23" xfId="0" applyFill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6" fillId="6" borderId="3" xfId="0" applyFont="1" applyFill="1" applyBorder="1" applyAlignment="1">
      <alignment horizontal="center"/>
    </xf>
    <xf numFmtId="0" fontId="8" fillId="0" borderId="0" xfId="0" applyFont="1" applyAlignment="1">
      <alignment horizontal="center" vertical="top" wrapText="1"/>
    </xf>
    <xf numFmtId="0" fontId="6" fillId="0" borderId="0" xfId="0" applyFont="1" applyAlignment="1">
      <alignment horizontal="center"/>
    </xf>
    <xf numFmtId="0" fontId="14" fillId="10" borderId="2" xfId="0" applyFont="1" applyFill="1" applyBorder="1"/>
    <xf numFmtId="0" fontId="8" fillId="0" borderId="2" xfId="0" applyFont="1" applyBorder="1" applyAlignment="1" applyProtection="1">
      <alignment horizontal="center"/>
      <protection locked="0"/>
    </xf>
    <xf numFmtId="1" fontId="1" fillId="3" borderId="5" xfId="0" applyNumberFormat="1" applyFont="1" applyFill="1" applyBorder="1" applyAlignment="1">
      <alignment horizontal="center"/>
    </xf>
    <xf numFmtId="0" fontId="0" fillId="3" borderId="1" xfId="0" applyFill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2" fillId="3" borderId="8" xfId="0" applyFont="1" applyFill="1" applyBorder="1"/>
    <xf numFmtId="0" fontId="7" fillId="3" borderId="7" xfId="0" applyFont="1" applyFill="1" applyBorder="1" applyAlignment="1">
      <alignment horizontal="center"/>
    </xf>
    <xf numFmtId="166" fontId="1" fillId="0" borderId="19" xfId="0" applyNumberFormat="1" applyFont="1" applyBorder="1"/>
    <xf numFmtId="166" fontId="0" fillId="0" borderId="0" xfId="1" applyNumberFormat="1" applyFont="1"/>
    <xf numFmtId="166" fontId="1" fillId="0" borderId="0" xfId="1" applyNumberFormat="1" applyFont="1"/>
    <xf numFmtId="166" fontId="1" fillId="0" borderId="0" xfId="0" applyNumberFormat="1" applyFont="1"/>
    <xf numFmtId="0" fontId="15" fillId="0" borderId="0" xfId="0" applyFont="1" applyAlignment="1">
      <alignment horizontal="center" vertical="center" wrapText="1" shrinkToFit="1"/>
    </xf>
    <xf numFmtId="165" fontId="16" fillId="0" borderId="0" xfId="0" applyNumberFormat="1" applyFont="1" applyAlignment="1">
      <alignment horizontal="left"/>
    </xf>
    <xf numFmtId="166" fontId="16" fillId="0" borderId="0" xfId="0" applyNumberFormat="1" applyFont="1" applyAlignment="1">
      <alignment horizontal="left"/>
    </xf>
    <xf numFmtId="0" fontId="15" fillId="0" borderId="0" xfId="0" applyFont="1" applyAlignment="1">
      <alignment horizontal="center" vertical="center" wrapText="1"/>
    </xf>
    <xf numFmtId="0" fontId="0" fillId="0" borderId="11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3" xfId="0" applyBorder="1" applyAlignment="1" applyProtection="1">
      <alignment horizontal="left" vertical="top" wrapText="1"/>
      <protection locked="0"/>
    </xf>
    <xf numFmtId="0" fontId="0" fillId="0" borderId="14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15" xfId="0" applyBorder="1" applyAlignment="1" applyProtection="1">
      <alignment horizontal="left" vertical="top" wrapText="1"/>
      <protection locked="0"/>
    </xf>
    <xf numFmtId="0" fontId="0" fillId="0" borderId="16" xfId="0" applyBorder="1" applyAlignment="1" applyProtection="1">
      <alignment horizontal="left" vertical="top" wrapText="1"/>
      <protection locked="0"/>
    </xf>
    <xf numFmtId="0" fontId="0" fillId="0" borderId="17" xfId="0" applyBorder="1" applyAlignment="1" applyProtection="1">
      <alignment horizontal="left" vertical="top" wrapText="1"/>
      <protection locked="0"/>
    </xf>
    <xf numFmtId="0" fontId="0" fillId="0" borderId="18" xfId="0" applyBorder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/>
    </xf>
    <xf numFmtId="0" fontId="5" fillId="4" borderId="0" xfId="0" applyFont="1" applyFill="1" applyAlignment="1">
      <alignment horizontal="center" vertic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6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6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5" fillId="4" borderId="17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2">
    <cellStyle name="Currency" xfId="1" builtinId="4"/>
    <cellStyle name="Normal" xfId="0" builtinId="0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B23"/>
  <sheetViews>
    <sheetView workbookViewId="0">
      <selection activeCell="A23" sqref="A23"/>
    </sheetView>
  </sheetViews>
  <sheetFormatPr defaultRowHeight="15" x14ac:dyDescent="0.25"/>
  <cols>
    <col min="1" max="1" width="50" customWidth="1"/>
    <col min="2" max="2" width="198.7109375" bestFit="1" customWidth="1"/>
    <col min="5" max="5" width="198.7109375" bestFit="1" customWidth="1"/>
  </cols>
  <sheetData>
    <row r="1" spans="1:2" ht="15.75" thickBot="1" x14ac:dyDescent="0.3">
      <c r="A1" s="35" t="s">
        <v>1337</v>
      </c>
      <c r="B1" s="34" t="s">
        <v>1348</v>
      </c>
    </row>
    <row r="2" spans="1:2" x14ac:dyDescent="0.25">
      <c r="A2" s="32" t="s">
        <v>1338</v>
      </c>
      <c r="B2" t="s">
        <v>1339</v>
      </c>
    </row>
    <row r="3" spans="1:2" x14ac:dyDescent="0.25">
      <c r="B3" s="33" t="s">
        <v>1340</v>
      </c>
    </row>
    <row r="4" spans="1:2" x14ac:dyDescent="0.25">
      <c r="B4" t="s">
        <v>1341</v>
      </c>
    </row>
    <row r="6" spans="1:2" x14ac:dyDescent="0.25">
      <c r="A6" s="32" t="s">
        <v>1342</v>
      </c>
    </row>
    <row r="8" spans="1:2" x14ac:dyDescent="0.25">
      <c r="A8" s="32" t="s">
        <v>1343</v>
      </c>
      <c r="B8" t="s">
        <v>1349</v>
      </c>
    </row>
    <row r="9" spans="1:2" x14ac:dyDescent="0.25">
      <c r="B9" s="38" t="s">
        <v>1353</v>
      </c>
    </row>
    <row r="10" spans="1:2" x14ac:dyDescent="0.25">
      <c r="A10" s="32" t="s">
        <v>1344</v>
      </c>
    </row>
    <row r="12" spans="1:2" x14ac:dyDescent="0.25">
      <c r="A12" s="32" t="s">
        <v>1345</v>
      </c>
    </row>
    <row r="14" spans="1:2" x14ac:dyDescent="0.25">
      <c r="A14" s="32" t="s">
        <v>1346</v>
      </c>
    </row>
    <row r="16" spans="1:2" x14ac:dyDescent="0.25">
      <c r="A16" s="32" t="s">
        <v>1347</v>
      </c>
    </row>
    <row r="20" spans="1:2" x14ac:dyDescent="0.25">
      <c r="A20" s="36" t="s">
        <v>1350</v>
      </c>
      <c r="B20" t="s">
        <v>1351</v>
      </c>
    </row>
    <row r="21" spans="1:2" x14ac:dyDescent="0.25">
      <c r="B21" t="s">
        <v>1352</v>
      </c>
    </row>
    <row r="23" spans="1:2" x14ac:dyDescent="0.25">
      <c r="A23" t="s">
        <v>1355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 filterMode="1"/>
  <dimension ref="A1:N158"/>
  <sheetViews>
    <sheetView tabSelected="1" workbookViewId="0">
      <pane ySplit="5" topLeftCell="A33" activePane="bottomLeft" state="frozen"/>
      <selection pane="bottomLeft" activeCell="H33" sqref="H33"/>
    </sheetView>
  </sheetViews>
  <sheetFormatPr defaultRowHeight="15" x14ac:dyDescent="0.25"/>
  <cols>
    <col min="1" max="1" width="6.5703125" customWidth="1"/>
    <col min="2" max="2" width="10.85546875" customWidth="1"/>
    <col min="3" max="3" width="11.7109375" bestFit="1" customWidth="1"/>
    <col min="4" max="4" width="90.7109375" customWidth="1"/>
    <col min="5" max="5" width="19.140625" customWidth="1"/>
    <col min="6" max="6" width="9.7109375" customWidth="1"/>
    <col min="7" max="7" width="10.5703125" bestFit="1" customWidth="1"/>
    <col min="8" max="8" width="19.5703125" bestFit="1" customWidth="1"/>
    <col min="10" max="10" width="16.7109375" bestFit="1" customWidth="1"/>
    <col min="11" max="11" width="9.140625" customWidth="1"/>
    <col min="12" max="12" width="16.28515625" hidden="1" customWidth="1"/>
    <col min="13" max="13" width="36.7109375" hidden="1" customWidth="1"/>
    <col min="14" max="14" width="15.28515625" hidden="1" customWidth="1"/>
    <col min="15" max="15" width="9.140625" customWidth="1"/>
  </cols>
  <sheetData>
    <row r="1" spans="1:14" ht="47.25" thickBot="1" x14ac:dyDescent="0.4">
      <c r="A1" s="95" t="str">
        <f>INDEX('INFO TABLE'!W:W,MATCH('CONTRACTOR INPUT'!H2,'INFO TABLE'!U:U,0))</f>
        <v>BYERS COMMUNICATIONS SOLUTIONS **ESVA 2.0 ONLY**</v>
      </c>
      <c r="B1" s="95"/>
      <c r="C1" s="95"/>
      <c r="D1" s="95"/>
      <c r="E1" s="95"/>
      <c r="F1" s="95"/>
      <c r="G1" s="95"/>
      <c r="H1" s="95"/>
      <c r="I1" s="95"/>
      <c r="J1" s="95"/>
      <c r="L1" s="81" t="s">
        <v>11</v>
      </c>
      <c r="M1" s="82">
        <f>IF(CALC!G164&lt;&gt;0,CALC!G164,"")</f>
        <v>486</v>
      </c>
      <c r="N1" s="25"/>
    </row>
    <row r="2" spans="1:14" ht="30.75" thickBot="1" x14ac:dyDescent="0.4">
      <c r="A2" s="96" t="s">
        <v>12</v>
      </c>
      <c r="B2" s="97"/>
      <c r="C2" s="98"/>
      <c r="D2" s="4" t="s">
        <v>1822</v>
      </c>
      <c r="E2" s="53"/>
      <c r="F2" s="53"/>
      <c r="G2" s="65" t="s">
        <v>1275</v>
      </c>
      <c r="H2" s="64" t="s">
        <v>1293</v>
      </c>
      <c r="I2" s="53"/>
      <c r="J2" s="73">
        <v>45474</v>
      </c>
      <c r="L2" s="81" t="s">
        <v>10</v>
      </c>
      <c r="M2" s="83">
        <f>IFERROR(CALC!M164, "")</f>
        <v>559.98</v>
      </c>
      <c r="N2" s="25"/>
    </row>
    <row r="3" spans="1:14" ht="30.75" customHeight="1" thickBot="1" x14ac:dyDescent="0.4">
      <c r="A3" s="99" t="s">
        <v>1744</v>
      </c>
      <c r="B3" s="100"/>
      <c r="C3" s="101"/>
      <c r="D3" s="45" t="s">
        <v>1823</v>
      </c>
      <c r="E3" s="53"/>
      <c r="F3" s="53"/>
      <c r="G3" s="65" t="s">
        <v>1272</v>
      </c>
      <c r="H3" s="72" t="str">
        <f>INDEX('INFO TABLE'!E203:E328,MATCH('CONTRACTOR INPUT'!D3,'INFO TABLE'!C203:C328,0))</f>
        <v>SEHST</v>
      </c>
      <c r="I3" s="53"/>
      <c r="J3" s="53"/>
      <c r="L3" s="84" t="s">
        <v>8</v>
      </c>
      <c r="M3" s="82">
        <f>IFERROR(M1+M2,"")</f>
        <v>1045.98</v>
      </c>
      <c r="N3" s="25"/>
    </row>
    <row r="4" spans="1:14" ht="15.75" thickBot="1" x14ac:dyDescent="0.3">
      <c r="A4" s="102" t="s">
        <v>1273</v>
      </c>
      <c r="B4" s="103"/>
      <c r="C4" s="104"/>
      <c r="D4" s="57" t="str">
        <f>INDEX('INFO TABLE'!B203:B328,MATCH(WC_LOOKUP,'INFO TABLE'!C203:C328,0))</f>
        <v>SEHST</v>
      </c>
      <c r="E4" s="53"/>
      <c r="F4" s="53"/>
      <c r="G4" s="53"/>
      <c r="H4" s="53"/>
      <c r="I4" s="53"/>
      <c r="J4" s="53"/>
      <c r="L4" s="94" t="str">
        <f>B147</f>
        <v>Explanation of MISC. Other with unit breakdown if any: MSC00A (# of business served)  BUSINESSES ADDRESSES @ $3=$0</v>
      </c>
      <c r="M4" s="94"/>
      <c r="N4" s="94"/>
    </row>
    <row r="5" spans="1:14" ht="30.75" customHeight="1" thickBot="1" x14ac:dyDescent="0.3">
      <c r="A5" s="53" t="s">
        <v>1743</v>
      </c>
      <c r="B5" s="44" t="s">
        <v>0</v>
      </c>
      <c r="C5" s="44" t="s">
        <v>1748</v>
      </c>
      <c r="D5" s="43" t="s">
        <v>1</v>
      </c>
      <c r="E5" s="43" t="s">
        <v>2</v>
      </c>
      <c r="F5" s="54" t="s">
        <v>3</v>
      </c>
      <c r="G5" s="53"/>
      <c r="H5" s="55" t="s">
        <v>9</v>
      </c>
      <c r="I5" s="53"/>
      <c r="J5" s="2" t="s">
        <v>6</v>
      </c>
      <c r="L5" s="94"/>
      <c r="M5" s="94"/>
      <c r="N5" s="94"/>
    </row>
    <row r="6" spans="1:14" x14ac:dyDescent="0.25">
      <c r="A6" s="53" t="s">
        <v>1745</v>
      </c>
      <c r="B6" s="42" t="s">
        <v>1378</v>
      </c>
      <c r="C6" s="42" t="s">
        <v>1389</v>
      </c>
      <c r="D6" s="42" t="s">
        <v>1379</v>
      </c>
      <c r="E6" s="42" t="s">
        <v>1380</v>
      </c>
      <c r="F6" s="24">
        <v>1</v>
      </c>
      <c r="G6" s="53"/>
      <c r="H6" s="41">
        <v>1</v>
      </c>
      <c r="I6" s="53"/>
      <c r="J6" s="40">
        <f>IFERROR(H6-F6,"")</f>
        <v>0</v>
      </c>
    </row>
    <row r="7" spans="1:14" ht="15.75" customHeight="1" x14ac:dyDescent="0.25">
      <c r="A7" s="53" t="s">
        <v>1745</v>
      </c>
      <c r="B7" s="42" t="s">
        <v>1381</v>
      </c>
      <c r="C7" s="42" t="s">
        <v>1389</v>
      </c>
      <c r="D7" s="42" t="s">
        <v>1382</v>
      </c>
      <c r="E7" s="42" t="s">
        <v>1383</v>
      </c>
      <c r="F7" s="24"/>
      <c r="G7" s="53"/>
      <c r="H7" s="41"/>
      <c r="I7" s="53"/>
      <c r="J7" s="40">
        <f t="shared" ref="J7:J70" si="0">IFERROR(H7-F7,"")</f>
        <v>0</v>
      </c>
      <c r="L7" s="48"/>
      <c r="M7" s="48"/>
      <c r="N7" s="49"/>
    </row>
    <row r="8" spans="1:14" hidden="1" x14ac:dyDescent="0.25">
      <c r="A8" s="53" t="s">
        <v>1761</v>
      </c>
      <c r="B8" s="42" t="s">
        <v>1384</v>
      </c>
      <c r="C8" s="42" t="s">
        <v>1749</v>
      </c>
      <c r="D8" s="42" t="s">
        <v>1385</v>
      </c>
      <c r="E8" s="42" t="s">
        <v>1386</v>
      </c>
      <c r="F8" s="24"/>
      <c r="G8" s="53"/>
      <c r="H8" s="41"/>
      <c r="I8" s="53"/>
      <c r="J8" s="40">
        <f t="shared" si="0"/>
        <v>0</v>
      </c>
      <c r="L8" s="26"/>
      <c r="M8" s="26"/>
      <c r="N8" s="26"/>
    </row>
    <row r="9" spans="1:14" ht="15.75" hidden="1" customHeight="1" x14ac:dyDescent="0.25">
      <c r="A9" s="53" t="s">
        <v>1769</v>
      </c>
      <c r="B9" s="42" t="s">
        <v>1387</v>
      </c>
      <c r="C9" s="42" t="s">
        <v>1749</v>
      </c>
      <c r="D9" s="42" t="s">
        <v>1388</v>
      </c>
      <c r="E9" s="42" t="s">
        <v>1389</v>
      </c>
      <c r="F9" s="24"/>
      <c r="G9" s="53"/>
      <c r="H9" s="41"/>
      <c r="I9" s="53"/>
      <c r="J9" s="40">
        <f t="shared" si="0"/>
        <v>0</v>
      </c>
      <c r="L9" s="50"/>
      <c r="M9" s="50"/>
      <c r="N9" s="47"/>
    </row>
    <row r="10" spans="1:14" hidden="1" x14ac:dyDescent="0.25">
      <c r="A10" s="53" t="s">
        <v>1761</v>
      </c>
      <c r="B10" s="42" t="s">
        <v>1390</v>
      </c>
      <c r="C10" s="42" t="s">
        <v>1749</v>
      </c>
      <c r="D10" s="42" t="s">
        <v>1391</v>
      </c>
      <c r="E10" s="42" t="s">
        <v>1389</v>
      </c>
      <c r="F10" s="24"/>
      <c r="G10" s="53"/>
      <c r="H10" s="41"/>
      <c r="I10" s="53"/>
      <c r="J10" s="40">
        <f t="shared" si="0"/>
        <v>0</v>
      </c>
      <c r="L10" s="26"/>
      <c r="M10" s="26"/>
      <c r="N10" s="26"/>
    </row>
    <row r="11" spans="1:14" x14ac:dyDescent="0.25">
      <c r="A11" s="53" t="s">
        <v>1745</v>
      </c>
      <c r="B11" s="42" t="s">
        <v>1392</v>
      </c>
      <c r="C11" s="42" t="s">
        <v>1749</v>
      </c>
      <c r="D11" s="42" t="s">
        <v>1393</v>
      </c>
      <c r="E11" s="42" t="s">
        <v>1394</v>
      </c>
      <c r="F11" s="24"/>
      <c r="G11" s="53"/>
      <c r="H11" s="41"/>
      <c r="I11" s="53"/>
      <c r="J11" s="40">
        <f t="shared" si="0"/>
        <v>0</v>
      </c>
      <c r="L11" s="26"/>
      <c r="M11" s="26"/>
      <c r="N11" s="26"/>
    </row>
    <row r="12" spans="1:14" ht="15" customHeight="1" x14ac:dyDescent="0.25">
      <c r="A12" s="53" t="s">
        <v>1745</v>
      </c>
      <c r="B12" s="42" t="s">
        <v>1395</v>
      </c>
      <c r="C12" s="42" t="s">
        <v>1749</v>
      </c>
      <c r="D12" s="42" t="s">
        <v>1396</v>
      </c>
      <c r="E12" s="42" t="s">
        <v>1394</v>
      </c>
      <c r="F12" s="24"/>
      <c r="G12" s="53"/>
      <c r="H12" s="41"/>
      <c r="I12" s="53"/>
      <c r="J12" s="40">
        <f t="shared" si="0"/>
        <v>0</v>
      </c>
      <c r="L12" s="51"/>
      <c r="M12" s="51"/>
      <c r="N12" s="51"/>
    </row>
    <row r="13" spans="1:14" x14ac:dyDescent="0.25">
      <c r="A13" s="53" t="s">
        <v>1745</v>
      </c>
      <c r="B13" s="42" t="s">
        <v>1397</v>
      </c>
      <c r="C13" s="42" t="s">
        <v>1749</v>
      </c>
      <c r="D13" s="42" t="s">
        <v>1398</v>
      </c>
      <c r="E13" s="42" t="s">
        <v>1394</v>
      </c>
      <c r="F13" s="24"/>
      <c r="G13" s="53"/>
      <c r="H13" s="41"/>
      <c r="I13" s="53"/>
      <c r="J13" s="40">
        <f t="shared" si="0"/>
        <v>0</v>
      </c>
      <c r="L13" s="51"/>
      <c r="M13" s="51"/>
      <c r="N13" s="51"/>
    </row>
    <row r="14" spans="1:14" x14ac:dyDescent="0.25">
      <c r="A14" s="53" t="s">
        <v>1745</v>
      </c>
      <c r="B14" s="42" t="s">
        <v>1399</v>
      </c>
      <c r="C14" s="42" t="s">
        <v>1749</v>
      </c>
      <c r="D14" s="42" t="s">
        <v>1400</v>
      </c>
      <c r="E14" s="42" t="s">
        <v>1394</v>
      </c>
      <c r="F14" s="24"/>
      <c r="G14" s="53"/>
      <c r="H14" s="41"/>
      <c r="I14" s="53"/>
      <c r="J14" s="40">
        <f t="shared" si="0"/>
        <v>0</v>
      </c>
      <c r="L14" s="51"/>
      <c r="M14" s="51"/>
      <c r="N14" s="51"/>
    </row>
    <row r="15" spans="1:14" x14ac:dyDescent="0.25">
      <c r="A15" s="53" t="s">
        <v>74</v>
      </c>
      <c r="B15" s="42" t="s">
        <v>1401</v>
      </c>
      <c r="C15" s="42" t="s">
        <v>1749</v>
      </c>
      <c r="D15" s="42" t="s">
        <v>1402</v>
      </c>
      <c r="E15" s="42" t="s">
        <v>1394</v>
      </c>
      <c r="F15" s="24"/>
      <c r="G15" s="53"/>
      <c r="H15" s="41"/>
      <c r="I15" s="53"/>
      <c r="J15" s="40">
        <f t="shared" si="0"/>
        <v>0</v>
      </c>
      <c r="L15" s="51"/>
      <c r="M15" s="51"/>
      <c r="N15" s="51"/>
    </row>
    <row r="16" spans="1:14" ht="30" x14ac:dyDescent="0.25">
      <c r="A16" s="53" t="s">
        <v>1745</v>
      </c>
      <c r="B16" s="42" t="s">
        <v>1403</v>
      </c>
      <c r="C16" s="42" t="s">
        <v>1749</v>
      </c>
      <c r="D16" s="58" t="s">
        <v>1741</v>
      </c>
      <c r="E16" s="42" t="s">
        <v>1394</v>
      </c>
      <c r="F16" s="24"/>
      <c r="G16" s="53"/>
      <c r="H16" s="41"/>
      <c r="I16" s="53"/>
      <c r="J16" s="40">
        <f t="shared" si="0"/>
        <v>0</v>
      </c>
      <c r="L16" s="51"/>
      <c r="M16" s="51"/>
      <c r="N16" s="51"/>
    </row>
    <row r="17" spans="1:14" x14ac:dyDescent="0.25">
      <c r="A17" s="53" t="s">
        <v>1745</v>
      </c>
      <c r="B17" s="42" t="s">
        <v>1404</v>
      </c>
      <c r="C17" s="42" t="s">
        <v>1749</v>
      </c>
      <c r="D17" s="42" t="s">
        <v>1742</v>
      </c>
      <c r="E17" s="42" t="s">
        <v>1394</v>
      </c>
      <c r="F17" s="24"/>
      <c r="G17" s="53"/>
      <c r="H17" s="41"/>
      <c r="I17" s="53"/>
      <c r="J17" s="40">
        <f t="shared" si="0"/>
        <v>0</v>
      </c>
      <c r="L17" s="51"/>
      <c r="M17" s="51"/>
      <c r="N17" s="51"/>
    </row>
    <row r="18" spans="1:14" x14ac:dyDescent="0.25">
      <c r="A18" s="53" t="s">
        <v>74</v>
      </c>
      <c r="B18" s="69" t="s">
        <v>1776</v>
      </c>
      <c r="C18" s="69" t="s">
        <v>1749</v>
      </c>
      <c r="D18" s="69" t="s">
        <v>1778</v>
      </c>
      <c r="E18" s="69" t="s">
        <v>1779</v>
      </c>
      <c r="F18" s="70"/>
      <c r="G18" s="53"/>
      <c r="H18" s="41"/>
      <c r="I18" s="53"/>
      <c r="J18" s="40">
        <f t="shared" si="0"/>
        <v>0</v>
      </c>
      <c r="L18" s="51"/>
      <c r="M18" s="51"/>
      <c r="N18" s="51"/>
    </row>
    <row r="19" spans="1:14" x14ac:dyDescent="0.25">
      <c r="A19" s="53" t="s">
        <v>74</v>
      </c>
      <c r="B19" s="69" t="s">
        <v>1777</v>
      </c>
      <c r="C19" s="69" t="s">
        <v>1749</v>
      </c>
      <c r="D19" s="69" t="s">
        <v>1780</v>
      </c>
      <c r="E19" s="69" t="s">
        <v>1779</v>
      </c>
      <c r="F19" s="70"/>
      <c r="G19" s="53"/>
      <c r="H19" s="41"/>
      <c r="I19" s="53"/>
      <c r="J19" s="40">
        <f t="shared" si="0"/>
        <v>0</v>
      </c>
      <c r="L19" s="51"/>
      <c r="M19" s="51"/>
      <c r="N19" s="51"/>
    </row>
    <row r="20" spans="1:14" hidden="1" x14ac:dyDescent="0.25">
      <c r="A20" s="53" t="s">
        <v>1760</v>
      </c>
      <c r="B20" s="42" t="s">
        <v>1405</v>
      </c>
      <c r="C20" s="42" t="s">
        <v>1749</v>
      </c>
      <c r="D20" s="42" t="s">
        <v>1406</v>
      </c>
      <c r="E20" s="42" t="s">
        <v>1407</v>
      </c>
      <c r="F20" s="24"/>
      <c r="G20" s="53"/>
      <c r="H20" s="41"/>
      <c r="I20" s="53"/>
      <c r="J20" s="40">
        <f t="shared" si="0"/>
        <v>0</v>
      </c>
      <c r="L20" s="51"/>
      <c r="M20" s="51"/>
      <c r="N20" s="51"/>
    </row>
    <row r="21" spans="1:14" hidden="1" x14ac:dyDescent="0.25">
      <c r="A21" s="53" t="s">
        <v>1760</v>
      </c>
      <c r="B21" s="42" t="s">
        <v>1408</v>
      </c>
      <c r="C21" s="42" t="s">
        <v>1749</v>
      </c>
      <c r="D21" s="42" t="s">
        <v>1409</v>
      </c>
      <c r="E21" s="42" t="s">
        <v>1407</v>
      </c>
      <c r="F21" s="24"/>
      <c r="G21" s="53"/>
      <c r="H21" s="41"/>
      <c r="I21" s="53"/>
      <c r="J21" s="40">
        <f t="shared" si="0"/>
        <v>0</v>
      </c>
      <c r="L21" s="26"/>
      <c r="M21" s="26"/>
      <c r="N21" s="26"/>
    </row>
    <row r="22" spans="1:14" hidden="1" x14ac:dyDescent="0.25">
      <c r="A22" s="53" t="s">
        <v>1760</v>
      </c>
      <c r="B22" s="42" t="s">
        <v>1410</v>
      </c>
      <c r="C22" s="42" t="s">
        <v>1749</v>
      </c>
      <c r="D22" s="42" t="s">
        <v>1411</v>
      </c>
      <c r="E22" s="42" t="s">
        <v>1412</v>
      </c>
      <c r="F22" s="24"/>
      <c r="G22" s="53"/>
      <c r="H22" s="41"/>
      <c r="I22" s="53"/>
      <c r="J22" s="40">
        <f t="shared" si="0"/>
        <v>0</v>
      </c>
      <c r="L22" s="25"/>
      <c r="M22" s="25"/>
      <c r="N22" s="25"/>
    </row>
    <row r="23" spans="1:14" x14ac:dyDescent="0.25">
      <c r="A23" s="53" t="s">
        <v>74</v>
      </c>
      <c r="B23" s="42" t="s">
        <v>1413</v>
      </c>
      <c r="C23" s="42" t="s">
        <v>1749</v>
      </c>
      <c r="D23" s="42" t="s">
        <v>1414</v>
      </c>
      <c r="E23" s="42" t="s">
        <v>1415</v>
      </c>
      <c r="F23" s="24"/>
      <c r="G23" s="53"/>
      <c r="H23" s="41"/>
      <c r="I23" s="53"/>
      <c r="J23" s="40">
        <f t="shared" si="0"/>
        <v>0</v>
      </c>
      <c r="L23" s="25"/>
      <c r="M23" s="25"/>
      <c r="N23" s="25"/>
    </row>
    <row r="24" spans="1:14" hidden="1" x14ac:dyDescent="0.25">
      <c r="A24" s="53" t="s">
        <v>1760</v>
      </c>
      <c r="B24" s="42" t="s">
        <v>1416</v>
      </c>
      <c r="C24" s="42" t="s">
        <v>1749</v>
      </c>
      <c r="D24" s="42" t="s">
        <v>1417</v>
      </c>
      <c r="E24" s="42" t="s">
        <v>1418</v>
      </c>
      <c r="F24" s="24"/>
      <c r="G24" s="53"/>
      <c r="H24" s="41"/>
      <c r="I24" s="53"/>
      <c r="J24" s="40">
        <f t="shared" si="0"/>
        <v>0</v>
      </c>
      <c r="L24" s="25"/>
      <c r="M24" s="25"/>
      <c r="N24" s="25"/>
    </row>
    <row r="25" spans="1:14" hidden="1" x14ac:dyDescent="0.25">
      <c r="A25" s="53" t="s">
        <v>1760</v>
      </c>
      <c r="B25" s="42" t="s">
        <v>1419</v>
      </c>
      <c r="C25" s="42" t="s">
        <v>1749</v>
      </c>
      <c r="D25" s="42" t="s">
        <v>1420</v>
      </c>
      <c r="E25" s="42" t="s">
        <v>1418</v>
      </c>
      <c r="F25" s="24"/>
      <c r="G25" s="53"/>
      <c r="H25" s="41"/>
      <c r="I25" s="53"/>
      <c r="J25" s="40">
        <f t="shared" si="0"/>
        <v>0</v>
      </c>
      <c r="L25" s="25"/>
      <c r="M25" s="25"/>
      <c r="N25" s="25"/>
    </row>
    <row r="26" spans="1:14" hidden="1" x14ac:dyDescent="0.25">
      <c r="A26" s="53" t="s">
        <v>1760</v>
      </c>
      <c r="B26" s="42" t="s">
        <v>1421</v>
      </c>
      <c r="C26" s="42" t="s">
        <v>1749</v>
      </c>
      <c r="D26" s="42" t="s">
        <v>1422</v>
      </c>
      <c r="E26" s="42" t="s">
        <v>1423</v>
      </c>
      <c r="F26" s="24"/>
      <c r="G26" s="53"/>
      <c r="H26" s="41"/>
      <c r="I26" s="53"/>
      <c r="J26" s="40">
        <f t="shared" si="0"/>
        <v>0</v>
      </c>
    </row>
    <row r="27" spans="1:14" hidden="1" x14ac:dyDescent="0.25">
      <c r="A27" s="53" t="s">
        <v>1760</v>
      </c>
      <c r="B27" s="42" t="s">
        <v>1424</v>
      </c>
      <c r="C27" s="42" t="s">
        <v>1749</v>
      </c>
      <c r="D27" s="42" t="s">
        <v>1425</v>
      </c>
      <c r="E27" s="42" t="s">
        <v>1423</v>
      </c>
      <c r="F27" s="24"/>
      <c r="G27" s="53"/>
      <c r="H27" s="41"/>
      <c r="I27" s="53"/>
      <c r="J27" s="40">
        <f t="shared" si="0"/>
        <v>0</v>
      </c>
    </row>
    <row r="28" spans="1:14" hidden="1" x14ac:dyDescent="0.25">
      <c r="A28" s="53" t="s">
        <v>1760</v>
      </c>
      <c r="B28" s="42" t="s">
        <v>1426</v>
      </c>
      <c r="C28" s="42" t="s">
        <v>1749</v>
      </c>
      <c r="D28" s="42" t="s">
        <v>1427</v>
      </c>
      <c r="E28" s="42" t="s">
        <v>1423</v>
      </c>
      <c r="F28" s="24"/>
      <c r="G28" s="53"/>
      <c r="H28" s="41"/>
      <c r="I28" s="53"/>
      <c r="J28" s="40">
        <f t="shared" si="0"/>
        <v>0</v>
      </c>
    </row>
    <row r="29" spans="1:14" hidden="1" x14ac:dyDescent="0.25">
      <c r="A29" s="53" t="s">
        <v>1764</v>
      </c>
      <c r="B29" s="42" t="s">
        <v>1428</v>
      </c>
      <c r="C29" s="42" t="s">
        <v>1749</v>
      </c>
      <c r="D29" s="42" t="s">
        <v>1429</v>
      </c>
      <c r="E29" s="42" t="s">
        <v>1361</v>
      </c>
      <c r="F29" s="24"/>
      <c r="G29" s="53"/>
      <c r="H29" s="41"/>
      <c r="I29" s="53"/>
      <c r="J29" s="40">
        <f t="shared" si="0"/>
        <v>0</v>
      </c>
    </row>
    <row r="30" spans="1:14" x14ac:dyDescent="0.25">
      <c r="A30" s="63" t="s">
        <v>1745</v>
      </c>
      <c r="B30" s="42" t="s">
        <v>1430</v>
      </c>
      <c r="C30" s="42" t="s">
        <v>1749</v>
      </c>
      <c r="D30" s="42" t="s">
        <v>1431</v>
      </c>
      <c r="E30" s="42" t="s">
        <v>1361</v>
      </c>
      <c r="F30" s="24"/>
      <c r="G30" s="53"/>
      <c r="H30" s="41"/>
      <c r="I30" s="53"/>
      <c r="J30" s="40">
        <f t="shared" si="0"/>
        <v>0</v>
      </c>
    </row>
    <row r="31" spans="1:14" x14ac:dyDescent="0.25">
      <c r="A31" s="53" t="s">
        <v>74</v>
      </c>
      <c r="B31" s="42" t="s">
        <v>1432</v>
      </c>
      <c r="C31" s="42" t="s">
        <v>1749</v>
      </c>
      <c r="D31" s="42" t="s">
        <v>1433</v>
      </c>
      <c r="E31" s="42" t="s">
        <v>1434</v>
      </c>
      <c r="F31" s="24"/>
      <c r="G31" s="53"/>
      <c r="H31" s="41"/>
      <c r="I31" s="53"/>
      <c r="J31" s="40">
        <f t="shared" si="0"/>
        <v>0</v>
      </c>
    </row>
    <row r="32" spans="1:14" hidden="1" x14ac:dyDescent="0.25">
      <c r="A32" s="53" t="s">
        <v>1760</v>
      </c>
      <c r="B32" s="42" t="s">
        <v>1435</v>
      </c>
      <c r="C32" s="42" t="s">
        <v>1749</v>
      </c>
      <c r="D32" s="42" t="s">
        <v>1436</v>
      </c>
      <c r="E32" s="42" t="s">
        <v>1437</v>
      </c>
      <c r="F32" s="24"/>
      <c r="G32" s="53"/>
      <c r="H32" s="41"/>
      <c r="I32" s="53"/>
      <c r="J32" s="40">
        <f t="shared" si="0"/>
        <v>0</v>
      </c>
    </row>
    <row r="33" spans="1:10" x14ac:dyDescent="0.25">
      <c r="A33" s="53" t="s">
        <v>1745</v>
      </c>
      <c r="B33" s="42" t="s">
        <v>1438</v>
      </c>
      <c r="C33" s="42" t="s">
        <v>1749</v>
      </c>
      <c r="D33" s="42" t="s">
        <v>1439</v>
      </c>
      <c r="E33" s="42" t="s">
        <v>1440</v>
      </c>
      <c r="F33" s="24"/>
      <c r="G33" s="53"/>
      <c r="H33" s="41">
        <v>1</v>
      </c>
      <c r="I33" s="53"/>
      <c r="J33" s="40">
        <f t="shared" si="0"/>
        <v>1</v>
      </c>
    </row>
    <row r="34" spans="1:10" x14ac:dyDescent="0.25">
      <c r="A34" s="53" t="s">
        <v>1745</v>
      </c>
      <c r="B34" s="42" t="s">
        <v>1441</v>
      </c>
      <c r="C34" s="42" t="s">
        <v>1749</v>
      </c>
      <c r="D34" s="42" t="s">
        <v>1442</v>
      </c>
      <c r="E34" s="42" t="s">
        <v>1440</v>
      </c>
      <c r="F34" s="24"/>
      <c r="G34" s="53"/>
      <c r="H34" s="41"/>
      <c r="I34" s="53"/>
      <c r="J34" s="40">
        <f t="shared" si="0"/>
        <v>0</v>
      </c>
    </row>
    <row r="35" spans="1:10" x14ac:dyDescent="0.25">
      <c r="A35" s="53" t="s">
        <v>1745</v>
      </c>
      <c r="B35" s="69" t="s">
        <v>1783</v>
      </c>
      <c r="C35" s="69" t="s">
        <v>1749</v>
      </c>
      <c r="D35" s="69" t="s">
        <v>1782</v>
      </c>
      <c r="E35" s="69" t="s">
        <v>1440</v>
      </c>
      <c r="F35" s="70"/>
      <c r="G35" s="53"/>
      <c r="H35" s="41"/>
      <c r="I35" s="53"/>
      <c r="J35" s="40">
        <f t="shared" si="0"/>
        <v>0</v>
      </c>
    </row>
    <row r="36" spans="1:10" x14ac:dyDescent="0.25">
      <c r="A36" s="53" t="s">
        <v>1745</v>
      </c>
      <c r="B36" s="42" t="s">
        <v>1443</v>
      </c>
      <c r="C36" s="42" t="s">
        <v>1749</v>
      </c>
      <c r="D36" s="42" t="s">
        <v>1444</v>
      </c>
      <c r="E36" s="42" t="s">
        <v>1362</v>
      </c>
      <c r="F36" s="24"/>
      <c r="G36" s="53"/>
      <c r="H36" s="41">
        <v>6</v>
      </c>
      <c r="I36" s="53"/>
      <c r="J36" s="40">
        <f t="shared" si="0"/>
        <v>6</v>
      </c>
    </row>
    <row r="37" spans="1:10" hidden="1" x14ac:dyDescent="0.25">
      <c r="A37" s="53" t="s">
        <v>1765</v>
      </c>
      <c r="B37" s="42" t="s">
        <v>1445</v>
      </c>
      <c r="C37" s="42" t="s">
        <v>1749</v>
      </c>
      <c r="D37" s="42" t="s">
        <v>1446</v>
      </c>
      <c r="E37" s="42" t="s">
        <v>1447</v>
      </c>
      <c r="F37" s="24"/>
      <c r="G37" s="53"/>
      <c r="H37" s="41"/>
      <c r="I37" s="53"/>
      <c r="J37" s="40">
        <f t="shared" si="0"/>
        <v>0</v>
      </c>
    </row>
    <row r="38" spans="1:10" x14ac:dyDescent="0.25">
      <c r="A38" s="53" t="s">
        <v>74</v>
      </c>
      <c r="B38" s="42" t="s">
        <v>1448</v>
      </c>
      <c r="C38" s="42" t="s">
        <v>1749</v>
      </c>
      <c r="D38" s="42" t="s">
        <v>1449</v>
      </c>
      <c r="E38" s="42" t="s">
        <v>1450</v>
      </c>
      <c r="F38" s="24"/>
      <c r="G38" s="53"/>
      <c r="H38" s="41"/>
      <c r="I38" s="53"/>
      <c r="J38" s="40">
        <f t="shared" si="0"/>
        <v>0</v>
      </c>
    </row>
    <row r="39" spans="1:10" x14ac:dyDescent="0.25">
      <c r="A39" s="53" t="s">
        <v>74</v>
      </c>
      <c r="B39" s="42" t="s">
        <v>1451</v>
      </c>
      <c r="C39" s="42" t="s">
        <v>1749</v>
      </c>
      <c r="D39" s="42" t="s">
        <v>1452</v>
      </c>
      <c r="E39" s="42" t="s">
        <v>1453</v>
      </c>
      <c r="F39" s="24"/>
      <c r="G39" s="53"/>
      <c r="H39" s="41"/>
      <c r="I39" s="53"/>
      <c r="J39" s="40">
        <f t="shared" si="0"/>
        <v>0</v>
      </c>
    </row>
    <row r="40" spans="1:10" hidden="1" x14ac:dyDescent="0.25">
      <c r="A40" s="53" t="s">
        <v>1761</v>
      </c>
      <c r="B40" s="42" t="s">
        <v>1454</v>
      </c>
      <c r="C40" s="42" t="s">
        <v>1749</v>
      </c>
      <c r="D40" s="42" t="s">
        <v>1455</v>
      </c>
      <c r="E40" s="42" t="s">
        <v>1456</v>
      </c>
      <c r="F40" s="24"/>
      <c r="G40" s="53"/>
      <c r="H40" s="41"/>
      <c r="I40" s="53"/>
      <c r="J40" s="40">
        <f t="shared" si="0"/>
        <v>0</v>
      </c>
    </row>
    <row r="41" spans="1:10" hidden="1" x14ac:dyDescent="0.25">
      <c r="A41" s="53" t="s">
        <v>1761</v>
      </c>
      <c r="B41" s="42" t="s">
        <v>1457</v>
      </c>
      <c r="C41" s="42" t="s">
        <v>1749</v>
      </c>
      <c r="D41" s="42" t="s">
        <v>1458</v>
      </c>
      <c r="E41" s="42" t="s">
        <v>1456</v>
      </c>
      <c r="F41" s="24"/>
      <c r="G41" s="53"/>
      <c r="H41" s="41"/>
      <c r="I41" s="53"/>
      <c r="J41" s="40">
        <f t="shared" si="0"/>
        <v>0</v>
      </c>
    </row>
    <row r="42" spans="1:10" hidden="1" x14ac:dyDescent="0.25">
      <c r="A42" s="53" t="s">
        <v>1761</v>
      </c>
      <c r="B42" s="42" t="s">
        <v>1459</v>
      </c>
      <c r="C42" s="42" t="s">
        <v>1749</v>
      </c>
      <c r="D42" s="42" t="s">
        <v>1460</v>
      </c>
      <c r="E42" s="42" t="s">
        <v>1456</v>
      </c>
      <c r="F42" s="24"/>
      <c r="G42" s="53"/>
      <c r="H42" s="41"/>
      <c r="I42" s="53"/>
      <c r="J42" s="40">
        <f t="shared" si="0"/>
        <v>0</v>
      </c>
    </row>
    <row r="43" spans="1:10" hidden="1" x14ac:dyDescent="0.25">
      <c r="A43" s="53" t="s">
        <v>1761</v>
      </c>
      <c r="B43" s="42" t="s">
        <v>1461</v>
      </c>
      <c r="C43" s="42" t="s">
        <v>1749</v>
      </c>
      <c r="D43" s="42" t="s">
        <v>1462</v>
      </c>
      <c r="E43" s="42" t="s">
        <v>1456</v>
      </c>
      <c r="F43" s="24"/>
      <c r="G43" s="53"/>
      <c r="H43" s="41"/>
      <c r="I43" s="53"/>
      <c r="J43" s="40">
        <f t="shared" si="0"/>
        <v>0</v>
      </c>
    </row>
    <row r="44" spans="1:10" x14ac:dyDescent="0.25">
      <c r="A44" s="53" t="s">
        <v>1745</v>
      </c>
      <c r="B44" s="42" t="s">
        <v>1463</v>
      </c>
      <c r="C44" s="42" t="s">
        <v>1750</v>
      </c>
      <c r="D44" s="42" t="s">
        <v>1464</v>
      </c>
      <c r="E44" s="42" t="s">
        <v>1362</v>
      </c>
      <c r="F44" s="24"/>
      <c r="G44" s="53"/>
      <c r="H44" s="41"/>
      <c r="I44" s="53"/>
      <c r="J44" s="40">
        <f t="shared" si="0"/>
        <v>0</v>
      </c>
    </row>
    <row r="45" spans="1:10" x14ac:dyDescent="0.25">
      <c r="A45" s="53" t="s">
        <v>1745</v>
      </c>
      <c r="B45" s="42" t="s">
        <v>1465</v>
      </c>
      <c r="C45" s="42" t="s">
        <v>1750</v>
      </c>
      <c r="D45" s="42" t="s">
        <v>1466</v>
      </c>
      <c r="E45" s="42" t="s">
        <v>1362</v>
      </c>
      <c r="F45" s="24"/>
      <c r="G45" s="53"/>
      <c r="H45" s="41"/>
      <c r="I45" s="53"/>
      <c r="J45" s="40">
        <f t="shared" si="0"/>
        <v>0</v>
      </c>
    </row>
    <row r="46" spans="1:10" x14ac:dyDescent="0.25">
      <c r="A46" s="53" t="s">
        <v>1745</v>
      </c>
      <c r="B46" s="42" t="s">
        <v>1467</v>
      </c>
      <c r="C46" s="42" t="s">
        <v>1750</v>
      </c>
      <c r="D46" s="42" t="s">
        <v>1468</v>
      </c>
      <c r="E46" s="42" t="s">
        <v>1362</v>
      </c>
      <c r="F46" s="24"/>
      <c r="G46" s="53"/>
      <c r="H46" s="41"/>
      <c r="I46" s="53"/>
      <c r="J46" s="40">
        <f t="shared" si="0"/>
        <v>0</v>
      </c>
    </row>
    <row r="47" spans="1:10" x14ac:dyDescent="0.25">
      <c r="A47" s="53" t="s">
        <v>74</v>
      </c>
      <c r="B47" s="42" t="s">
        <v>1469</v>
      </c>
      <c r="C47" s="42" t="s">
        <v>1750</v>
      </c>
      <c r="D47" s="42" t="s">
        <v>1470</v>
      </c>
      <c r="E47" s="42" t="s">
        <v>1362</v>
      </c>
      <c r="F47" s="24"/>
      <c r="G47" s="53"/>
      <c r="H47" s="41"/>
      <c r="I47" s="53"/>
      <c r="J47" s="40">
        <f t="shared" si="0"/>
        <v>0</v>
      </c>
    </row>
    <row r="48" spans="1:10" x14ac:dyDescent="0.25">
      <c r="A48" s="53" t="s">
        <v>1745</v>
      </c>
      <c r="B48" s="69" t="s">
        <v>1784</v>
      </c>
      <c r="C48" s="69" t="s">
        <v>1750</v>
      </c>
      <c r="D48" s="69" t="s">
        <v>1787</v>
      </c>
      <c r="E48" s="69" t="s">
        <v>1360</v>
      </c>
      <c r="F48" s="70"/>
      <c r="G48" s="53"/>
      <c r="H48" s="41"/>
      <c r="I48" s="53"/>
      <c r="J48" s="40">
        <f t="shared" si="0"/>
        <v>0</v>
      </c>
    </row>
    <row r="49" spans="1:10" x14ac:dyDescent="0.25">
      <c r="A49" s="53" t="s">
        <v>1745</v>
      </c>
      <c r="B49" s="69" t="s">
        <v>1785</v>
      </c>
      <c r="C49" s="69" t="s">
        <v>1750</v>
      </c>
      <c r="D49" s="69" t="s">
        <v>1788</v>
      </c>
      <c r="E49" s="69" t="s">
        <v>1362</v>
      </c>
      <c r="F49" s="70"/>
      <c r="G49" s="53"/>
      <c r="H49" s="41"/>
      <c r="I49" s="53"/>
      <c r="J49" s="40">
        <f t="shared" si="0"/>
        <v>0</v>
      </c>
    </row>
    <row r="50" spans="1:10" x14ac:dyDescent="0.25">
      <c r="A50" s="53" t="s">
        <v>1745</v>
      </c>
      <c r="B50" s="69" t="s">
        <v>1786</v>
      </c>
      <c r="C50" s="69" t="s">
        <v>1750</v>
      </c>
      <c r="D50" s="69" t="s">
        <v>1789</v>
      </c>
      <c r="E50" s="69" t="s">
        <v>1362</v>
      </c>
      <c r="F50" s="70"/>
      <c r="G50" s="53"/>
      <c r="H50" s="41"/>
      <c r="I50" s="53"/>
      <c r="J50" s="40">
        <f t="shared" si="0"/>
        <v>0</v>
      </c>
    </row>
    <row r="51" spans="1:10" x14ac:dyDescent="0.25">
      <c r="A51" s="53" t="s">
        <v>74</v>
      </c>
      <c r="B51" s="42" t="s">
        <v>1471</v>
      </c>
      <c r="C51" s="42" t="s">
        <v>1750</v>
      </c>
      <c r="D51" s="42" t="s">
        <v>1472</v>
      </c>
      <c r="E51" s="42" t="s">
        <v>1473</v>
      </c>
      <c r="F51" s="24"/>
      <c r="G51" s="53"/>
      <c r="H51" s="41"/>
      <c r="I51" s="53"/>
      <c r="J51" s="40">
        <f t="shared" si="0"/>
        <v>0</v>
      </c>
    </row>
    <row r="52" spans="1:10" x14ac:dyDescent="0.25">
      <c r="A52" s="53" t="s">
        <v>74</v>
      </c>
      <c r="B52" s="42" t="s">
        <v>1474</v>
      </c>
      <c r="C52" s="42" t="s">
        <v>1750</v>
      </c>
      <c r="D52" s="42" t="s">
        <v>1475</v>
      </c>
      <c r="E52" s="42" t="s">
        <v>1476</v>
      </c>
      <c r="F52" s="24"/>
      <c r="G52" s="53"/>
      <c r="H52" s="41"/>
      <c r="I52" s="53"/>
      <c r="J52" s="40">
        <f t="shared" si="0"/>
        <v>0</v>
      </c>
    </row>
    <row r="53" spans="1:10" x14ac:dyDescent="0.25">
      <c r="A53" s="53" t="s">
        <v>74</v>
      </c>
      <c r="B53" s="42" t="s">
        <v>1477</v>
      </c>
      <c r="C53" s="42" t="s">
        <v>1750</v>
      </c>
      <c r="D53" s="42" t="s">
        <v>1478</v>
      </c>
      <c r="E53" s="42" t="s">
        <v>1362</v>
      </c>
      <c r="F53" s="24"/>
      <c r="G53" s="53"/>
      <c r="H53" s="41"/>
      <c r="I53" s="53"/>
      <c r="J53" s="40">
        <f t="shared" si="0"/>
        <v>0</v>
      </c>
    </row>
    <row r="54" spans="1:10" x14ac:dyDescent="0.25">
      <c r="A54" s="53" t="s">
        <v>74</v>
      </c>
      <c r="B54" s="42" t="s">
        <v>1479</v>
      </c>
      <c r="C54" s="42" t="s">
        <v>1750</v>
      </c>
      <c r="D54" s="42" t="s">
        <v>1480</v>
      </c>
      <c r="E54" s="42" t="s">
        <v>1362</v>
      </c>
      <c r="F54" s="24"/>
      <c r="G54" s="53"/>
      <c r="H54" s="41"/>
      <c r="I54" s="53"/>
      <c r="J54" s="40">
        <f t="shared" si="0"/>
        <v>0</v>
      </c>
    </row>
    <row r="55" spans="1:10" x14ac:dyDescent="0.25">
      <c r="A55" s="53" t="s">
        <v>74</v>
      </c>
      <c r="B55" s="42" t="s">
        <v>1481</v>
      </c>
      <c r="C55" s="42" t="s">
        <v>1750</v>
      </c>
      <c r="D55" s="42" t="s">
        <v>1482</v>
      </c>
      <c r="E55" s="42" t="s">
        <v>1473</v>
      </c>
      <c r="F55" s="24"/>
      <c r="G55" s="53"/>
      <c r="H55" s="41"/>
      <c r="I55" s="53"/>
      <c r="J55" s="40">
        <f t="shared" si="0"/>
        <v>0</v>
      </c>
    </row>
    <row r="56" spans="1:10" x14ac:dyDescent="0.25">
      <c r="A56" s="53" t="s">
        <v>74</v>
      </c>
      <c r="B56" s="42" t="s">
        <v>1483</v>
      </c>
      <c r="C56" s="42" t="s">
        <v>1750</v>
      </c>
      <c r="D56" s="42" t="s">
        <v>1484</v>
      </c>
      <c r="E56" s="42" t="s">
        <v>1476</v>
      </c>
      <c r="F56" s="24"/>
      <c r="G56" s="53"/>
      <c r="H56" s="41"/>
      <c r="I56" s="53"/>
      <c r="J56" s="40">
        <f t="shared" si="0"/>
        <v>0</v>
      </c>
    </row>
    <row r="57" spans="1:10" x14ac:dyDescent="0.25">
      <c r="A57" s="53" t="s">
        <v>74</v>
      </c>
      <c r="B57" s="42" t="s">
        <v>1485</v>
      </c>
      <c r="C57" s="42" t="s">
        <v>1750</v>
      </c>
      <c r="D57" s="42" t="s">
        <v>1486</v>
      </c>
      <c r="E57" s="42" t="s">
        <v>1362</v>
      </c>
      <c r="F57" s="24"/>
      <c r="G57" s="53"/>
      <c r="H57" s="41"/>
      <c r="I57" s="53"/>
      <c r="J57" s="40">
        <f t="shared" si="0"/>
        <v>0</v>
      </c>
    </row>
    <row r="58" spans="1:10" x14ac:dyDescent="0.25">
      <c r="A58" s="53" t="s">
        <v>74</v>
      </c>
      <c r="B58" s="42" t="s">
        <v>1487</v>
      </c>
      <c r="C58" s="42" t="s">
        <v>1750</v>
      </c>
      <c r="D58" s="42" t="s">
        <v>1488</v>
      </c>
      <c r="E58" s="42" t="s">
        <v>1362</v>
      </c>
      <c r="F58" s="24"/>
      <c r="G58" s="53"/>
      <c r="H58" s="41"/>
      <c r="I58" s="53"/>
      <c r="J58" s="40">
        <f t="shared" si="0"/>
        <v>0</v>
      </c>
    </row>
    <row r="59" spans="1:10" x14ac:dyDescent="0.25">
      <c r="A59" s="53" t="s">
        <v>74</v>
      </c>
      <c r="B59" s="69" t="s">
        <v>1790</v>
      </c>
      <c r="C59" s="69" t="s">
        <v>1750</v>
      </c>
      <c r="D59" s="69" t="s">
        <v>1791</v>
      </c>
      <c r="E59" s="69" t="s">
        <v>1779</v>
      </c>
      <c r="F59" s="70"/>
      <c r="G59" s="53"/>
      <c r="H59" s="41"/>
      <c r="I59" s="53"/>
      <c r="J59" s="40">
        <f t="shared" si="0"/>
        <v>0</v>
      </c>
    </row>
    <row r="60" spans="1:10" x14ac:dyDescent="0.25">
      <c r="A60" s="53" t="s">
        <v>74</v>
      </c>
      <c r="B60" s="42" t="s">
        <v>1489</v>
      </c>
      <c r="C60" s="42" t="s">
        <v>1750</v>
      </c>
      <c r="D60" s="42" t="s">
        <v>1490</v>
      </c>
      <c r="E60" s="42" t="s">
        <v>1491</v>
      </c>
      <c r="F60" s="24"/>
      <c r="G60" s="53"/>
      <c r="H60" s="41"/>
      <c r="I60" s="53"/>
      <c r="J60" s="40">
        <f t="shared" si="0"/>
        <v>0</v>
      </c>
    </row>
    <row r="61" spans="1:10" x14ac:dyDescent="0.25">
      <c r="A61" s="53" t="s">
        <v>74</v>
      </c>
      <c r="B61" s="42" t="s">
        <v>1492</v>
      </c>
      <c r="C61" s="42" t="s">
        <v>1750</v>
      </c>
      <c r="D61" s="42" t="s">
        <v>1493</v>
      </c>
      <c r="E61" s="42" t="s">
        <v>1494</v>
      </c>
      <c r="F61" s="24"/>
      <c r="G61" s="53"/>
      <c r="H61" s="41"/>
      <c r="I61" s="53"/>
      <c r="J61" s="40">
        <f t="shared" si="0"/>
        <v>0</v>
      </c>
    </row>
    <row r="62" spans="1:10" x14ac:dyDescent="0.25">
      <c r="A62" s="53" t="s">
        <v>74</v>
      </c>
      <c r="B62" s="42" t="s">
        <v>1495</v>
      </c>
      <c r="C62" s="42" t="s">
        <v>1750</v>
      </c>
      <c r="D62" s="42" t="s">
        <v>1496</v>
      </c>
      <c r="E62" s="42" t="s">
        <v>1491</v>
      </c>
      <c r="F62" s="24"/>
      <c r="G62" s="53"/>
      <c r="H62" s="41"/>
      <c r="I62" s="53"/>
      <c r="J62" s="40">
        <f t="shared" si="0"/>
        <v>0</v>
      </c>
    </row>
    <row r="63" spans="1:10" hidden="1" x14ac:dyDescent="0.25">
      <c r="A63" s="53" t="s">
        <v>1764</v>
      </c>
      <c r="B63" s="42" t="s">
        <v>1497</v>
      </c>
      <c r="C63" s="42" t="s">
        <v>1750</v>
      </c>
      <c r="D63" s="42" t="s">
        <v>1498</v>
      </c>
      <c r="E63" s="42" t="s">
        <v>1491</v>
      </c>
      <c r="F63" s="24"/>
      <c r="G63" s="53"/>
      <c r="H63" s="41"/>
      <c r="I63" s="53"/>
      <c r="J63" s="40">
        <f t="shared" si="0"/>
        <v>0</v>
      </c>
    </row>
    <row r="64" spans="1:10" hidden="1" x14ac:dyDescent="0.25">
      <c r="A64" s="53" t="s">
        <v>1760</v>
      </c>
      <c r="B64" s="42" t="s">
        <v>1499</v>
      </c>
      <c r="C64" s="42" t="s">
        <v>1750</v>
      </c>
      <c r="D64" s="42" t="s">
        <v>1436</v>
      </c>
      <c r="E64" s="42" t="s">
        <v>1437</v>
      </c>
      <c r="F64" s="24"/>
      <c r="G64" s="53"/>
      <c r="H64" s="41"/>
      <c r="I64" s="53"/>
      <c r="J64" s="40">
        <f t="shared" si="0"/>
        <v>0</v>
      </c>
    </row>
    <row r="65" spans="1:10" x14ac:dyDescent="0.25">
      <c r="A65" s="53" t="s">
        <v>74</v>
      </c>
      <c r="B65" s="69" t="s">
        <v>1792</v>
      </c>
      <c r="C65" s="69" t="s">
        <v>1750</v>
      </c>
      <c r="D65" s="69" t="s">
        <v>1794</v>
      </c>
      <c r="E65" s="69" t="s">
        <v>1361</v>
      </c>
      <c r="F65" s="70"/>
      <c r="G65" s="53"/>
      <c r="H65" s="41"/>
      <c r="I65" s="53"/>
      <c r="J65" s="40">
        <f t="shared" si="0"/>
        <v>0</v>
      </c>
    </row>
    <row r="66" spans="1:10" x14ac:dyDescent="0.25">
      <c r="A66" s="53" t="s">
        <v>74</v>
      </c>
      <c r="B66" s="69" t="s">
        <v>1793</v>
      </c>
      <c r="C66" s="69" t="s">
        <v>1750</v>
      </c>
      <c r="D66" s="69" t="s">
        <v>1795</v>
      </c>
      <c r="E66" s="69" t="s">
        <v>1796</v>
      </c>
      <c r="F66" s="70"/>
      <c r="G66" s="53"/>
      <c r="H66" s="41"/>
      <c r="I66" s="53"/>
      <c r="J66" s="40">
        <f t="shared" si="0"/>
        <v>0</v>
      </c>
    </row>
    <row r="67" spans="1:10" x14ac:dyDescent="0.25">
      <c r="A67" s="53" t="s">
        <v>1745</v>
      </c>
      <c r="B67" s="42" t="s">
        <v>1500</v>
      </c>
      <c r="C67" s="42" t="s">
        <v>1750</v>
      </c>
      <c r="D67" s="42" t="s">
        <v>1501</v>
      </c>
      <c r="E67" s="42" t="s">
        <v>1361</v>
      </c>
      <c r="F67" s="24"/>
      <c r="G67" s="53"/>
      <c r="H67" s="41"/>
      <c r="I67" s="53"/>
      <c r="J67" s="40">
        <f t="shared" si="0"/>
        <v>0</v>
      </c>
    </row>
    <row r="68" spans="1:10" x14ac:dyDescent="0.25">
      <c r="A68" s="53" t="s">
        <v>1745</v>
      </c>
      <c r="B68" s="42" t="s">
        <v>1502</v>
      </c>
      <c r="C68" s="42" t="s">
        <v>1750</v>
      </c>
      <c r="D68" s="42" t="s">
        <v>1503</v>
      </c>
      <c r="E68" s="42" t="s">
        <v>1361</v>
      </c>
      <c r="F68" s="24"/>
      <c r="G68" s="53"/>
      <c r="H68" s="41"/>
      <c r="I68" s="53"/>
      <c r="J68" s="40">
        <f t="shared" si="0"/>
        <v>0</v>
      </c>
    </row>
    <row r="69" spans="1:10" hidden="1" x14ac:dyDescent="0.25">
      <c r="A69" s="53" t="s">
        <v>1764</v>
      </c>
      <c r="B69" s="42" t="s">
        <v>1504</v>
      </c>
      <c r="C69" s="42" t="s">
        <v>1750</v>
      </c>
      <c r="D69" s="42" t="s">
        <v>1505</v>
      </c>
      <c r="E69" s="42" t="s">
        <v>1361</v>
      </c>
      <c r="F69" s="24"/>
      <c r="G69" s="53"/>
      <c r="H69" s="41"/>
      <c r="I69" s="53"/>
      <c r="J69" s="40">
        <f t="shared" si="0"/>
        <v>0</v>
      </c>
    </row>
    <row r="70" spans="1:10" hidden="1" x14ac:dyDescent="0.25">
      <c r="A70" s="53" t="s">
        <v>1764</v>
      </c>
      <c r="B70" s="42" t="s">
        <v>1506</v>
      </c>
      <c r="C70" s="42" t="s">
        <v>1750</v>
      </c>
      <c r="D70" s="42" t="s">
        <v>1507</v>
      </c>
      <c r="E70" s="42" t="s">
        <v>1508</v>
      </c>
      <c r="F70" s="24"/>
      <c r="G70" s="53"/>
      <c r="H70" s="41"/>
      <c r="I70" s="53"/>
      <c r="J70" s="40">
        <f t="shared" si="0"/>
        <v>0</v>
      </c>
    </row>
    <row r="71" spans="1:10" hidden="1" x14ac:dyDescent="0.25">
      <c r="A71" s="53" t="s">
        <v>1764</v>
      </c>
      <c r="B71" s="42" t="s">
        <v>1509</v>
      </c>
      <c r="C71" s="42" t="s">
        <v>1750</v>
      </c>
      <c r="D71" s="42" t="s">
        <v>1510</v>
      </c>
      <c r="E71" s="42" t="s">
        <v>1361</v>
      </c>
      <c r="F71" s="24"/>
      <c r="G71" s="53"/>
      <c r="H71" s="41"/>
      <c r="I71" s="53"/>
      <c r="J71" s="40">
        <f t="shared" ref="J71:J123" si="1">IFERROR(H71-F71,"")</f>
        <v>0</v>
      </c>
    </row>
    <row r="72" spans="1:10" hidden="1" x14ac:dyDescent="0.25">
      <c r="A72" s="53" t="s">
        <v>1764</v>
      </c>
      <c r="B72" s="42" t="s">
        <v>1511</v>
      </c>
      <c r="C72" s="42" t="s">
        <v>1750</v>
      </c>
      <c r="D72" s="42" t="s">
        <v>1512</v>
      </c>
      <c r="E72" s="42" t="s">
        <v>1361</v>
      </c>
      <c r="F72" s="24"/>
      <c r="G72" s="53"/>
      <c r="H72" s="41"/>
      <c r="I72" s="53"/>
      <c r="J72" s="40">
        <f t="shared" si="1"/>
        <v>0</v>
      </c>
    </row>
    <row r="73" spans="1:10" hidden="1" x14ac:dyDescent="0.25">
      <c r="A73" s="53" t="s">
        <v>1764</v>
      </c>
      <c r="B73" s="42" t="s">
        <v>1513</v>
      </c>
      <c r="C73" s="42" t="s">
        <v>1750</v>
      </c>
      <c r="D73" s="42" t="s">
        <v>1514</v>
      </c>
      <c r="E73" s="42" t="s">
        <v>1361</v>
      </c>
      <c r="F73" s="24"/>
      <c r="G73" s="53"/>
      <c r="H73" s="41"/>
      <c r="I73" s="53"/>
      <c r="J73" s="40">
        <f t="shared" si="1"/>
        <v>0</v>
      </c>
    </row>
    <row r="74" spans="1:10" hidden="1" x14ac:dyDescent="0.25">
      <c r="A74" s="53" t="s">
        <v>1764</v>
      </c>
      <c r="B74" s="42" t="s">
        <v>1515</v>
      </c>
      <c r="C74" s="42" t="s">
        <v>1750</v>
      </c>
      <c r="D74" s="42" t="s">
        <v>1516</v>
      </c>
      <c r="E74" s="42" t="s">
        <v>1360</v>
      </c>
      <c r="F74" s="24"/>
      <c r="G74" s="53"/>
      <c r="H74" s="41"/>
      <c r="I74" s="53"/>
      <c r="J74" s="40">
        <f t="shared" si="1"/>
        <v>0</v>
      </c>
    </row>
    <row r="75" spans="1:10" hidden="1" x14ac:dyDescent="0.25">
      <c r="A75" s="53" t="s">
        <v>1764</v>
      </c>
      <c r="B75" s="42" t="s">
        <v>1517</v>
      </c>
      <c r="C75" s="42" t="s">
        <v>1750</v>
      </c>
      <c r="D75" s="42" t="s">
        <v>1518</v>
      </c>
      <c r="E75" s="42" t="s">
        <v>1519</v>
      </c>
      <c r="F75" s="24"/>
      <c r="G75" s="53"/>
      <c r="H75" s="41"/>
      <c r="I75" s="53"/>
      <c r="J75" s="40">
        <f t="shared" si="1"/>
        <v>0</v>
      </c>
    </row>
    <row r="76" spans="1:10" hidden="1" x14ac:dyDescent="0.25">
      <c r="A76" s="53" t="s">
        <v>1766</v>
      </c>
      <c r="B76" s="42" t="s">
        <v>1520</v>
      </c>
      <c r="C76" s="42" t="s">
        <v>1751</v>
      </c>
      <c r="D76" s="42" t="s">
        <v>1521</v>
      </c>
      <c r="E76" s="42" t="s">
        <v>1360</v>
      </c>
      <c r="F76" s="24"/>
      <c r="G76" s="53"/>
      <c r="H76" s="41"/>
      <c r="I76" s="53"/>
      <c r="J76" s="40">
        <f t="shared" si="1"/>
        <v>0</v>
      </c>
    </row>
    <row r="77" spans="1:10" x14ac:dyDescent="0.25">
      <c r="A77" s="53" t="s">
        <v>1745</v>
      </c>
      <c r="B77" s="42" t="s">
        <v>1522</v>
      </c>
      <c r="C77" s="42" t="s">
        <v>1751</v>
      </c>
      <c r="D77" s="42" t="s">
        <v>1523</v>
      </c>
      <c r="E77" s="42" t="s">
        <v>1360</v>
      </c>
      <c r="F77" s="24"/>
      <c r="G77" s="53"/>
      <c r="H77" s="41"/>
      <c r="I77" s="53"/>
      <c r="J77" s="40">
        <f t="shared" si="1"/>
        <v>0</v>
      </c>
    </row>
    <row r="78" spans="1:10" hidden="1" x14ac:dyDescent="0.25">
      <c r="A78" s="53" t="s">
        <v>1766</v>
      </c>
      <c r="B78" s="42" t="s">
        <v>1524</v>
      </c>
      <c r="C78" s="42" t="s">
        <v>1751</v>
      </c>
      <c r="D78" s="42" t="s">
        <v>1525</v>
      </c>
      <c r="E78" s="42" t="s">
        <v>1415</v>
      </c>
      <c r="F78" s="24"/>
      <c r="G78" s="53"/>
      <c r="H78" s="41"/>
      <c r="I78" s="53"/>
      <c r="J78" s="40">
        <f t="shared" si="1"/>
        <v>0</v>
      </c>
    </row>
    <row r="79" spans="1:10" hidden="1" x14ac:dyDescent="0.25">
      <c r="A79" s="53" t="s">
        <v>1766</v>
      </c>
      <c r="B79" s="42" t="s">
        <v>1526</v>
      </c>
      <c r="C79" s="42" t="s">
        <v>1751</v>
      </c>
      <c r="D79" s="42" t="s">
        <v>1527</v>
      </c>
      <c r="E79" s="42" t="s">
        <v>1528</v>
      </c>
      <c r="F79" s="56">
        <v>0</v>
      </c>
      <c r="G79" s="53"/>
      <c r="H79" s="24" t="s">
        <v>1809</v>
      </c>
      <c r="I79" s="53"/>
      <c r="J79" s="40" t="str">
        <f>IFERROR(H79,"")</f>
        <v>INPUT $ AMOUNT</v>
      </c>
    </row>
    <row r="80" spans="1:10" x14ac:dyDescent="0.25">
      <c r="A80" s="53" t="s">
        <v>1745</v>
      </c>
      <c r="B80" s="42" t="s">
        <v>1529</v>
      </c>
      <c r="C80" s="42" t="s">
        <v>1751</v>
      </c>
      <c r="D80" s="42" t="s">
        <v>1530</v>
      </c>
      <c r="E80" s="42" t="s">
        <v>1531</v>
      </c>
      <c r="F80" s="24"/>
      <c r="G80" s="53"/>
      <c r="H80" s="41"/>
      <c r="I80" s="53"/>
      <c r="J80" s="40">
        <f t="shared" si="1"/>
        <v>0</v>
      </c>
    </row>
    <row r="81" spans="1:10" x14ac:dyDescent="0.25">
      <c r="A81" s="53" t="s">
        <v>1767</v>
      </c>
      <c r="B81" s="42" t="s">
        <v>1532</v>
      </c>
      <c r="C81" s="42" t="s">
        <v>1751</v>
      </c>
      <c r="D81" s="42" t="s">
        <v>1819</v>
      </c>
      <c r="E81" s="42" t="s">
        <v>1534</v>
      </c>
      <c r="F81" s="24"/>
      <c r="G81" s="53"/>
      <c r="H81" s="41"/>
      <c r="I81" s="53"/>
      <c r="J81" s="40">
        <f t="shared" si="1"/>
        <v>0</v>
      </c>
    </row>
    <row r="82" spans="1:10" x14ac:dyDescent="0.25">
      <c r="A82" s="53" t="s">
        <v>1767</v>
      </c>
      <c r="B82" s="42" t="s">
        <v>1535</v>
      </c>
      <c r="C82" s="42" t="s">
        <v>1751</v>
      </c>
      <c r="D82" s="42" t="s">
        <v>1820</v>
      </c>
      <c r="E82" s="42" t="s">
        <v>1534</v>
      </c>
      <c r="F82" s="24"/>
      <c r="G82" s="53"/>
      <c r="H82" s="41"/>
      <c r="I82" s="53"/>
      <c r="J82" s="40">
        <f t="shared" si="1"/>
        <v>0</v>
      </c>
    </row>
    <row r="83" spans="1:10" x14ac:dyDescent="0.25">
      <c r="A83" s="53" t="s">
        <v>1767</v>
      </c>
      <c r="B83" s="42" t="s">
        <v>1537</v>
      </c>
      <c r="C83" s="42" t="s">
        <v>1751</v>
      </c>
      <c r="D83" s="42" t="s">
        <v>1538</v>
      </c>
      <c r="E83" s="42" t="s">
        <v>1539</v>
      </c>
      <c r="F83" s="24"/>
      <c r="G83" s="53"/>
      <c r="H83" s="41"/>
      <c r="I83" s="53"/>
      <c r="J83" s="40">
        <f t="shared" si="1"/>
        <v>0</v>
      </c>
    </row>
    <row r="84" spans="1:10" x14ac:dyDescent="0.25">
      <c r="A84" s="53" t="s">
        <v>1767</v>
      </c>
      <c r="B84" s="42" t="s">
        <v>1540</v>
      </c>
      <c r="C84" s="42" t="s">
        <v>1751</v>
      </c>
      <c r="D84" s="42" t="s">
        <v>1541</v>
      </c>
      <c r="E84" s="42" t="s">
        <v>1539</v>
      </c>
      <c r="F84" s="24"/>
      <c r="G84" s="53"/>
      <c r="H84" s="41"/>
      <c r="I84" s="53"/>
      <c r="J84" s="40">
        <f t="shared" si="1"/>
        <v>0</v>
      </c>
    </row>
    <row r="85" spans="1:10" x14ac:dyDescent="0.25">
      <c r="A85" s="53" t="s">
        <v>1767</v>
      </c>
      <c r="B85" s="42" t="s">
        <v>1542</v>
      </c>
      <c r="C85" s="42" t="s">
        <v>1751</v>
      </c>
      <c r="D85" s="42" t="s">
        <v>1543</v>
      </c>
      <c r="E85" s="42" t="s">
        <v>1415</v>
      </c>
      <c r="F85" s="24"/>
      <c r="G85" s="53"/>
      <c r="H85" s="41"/>
      <c r="I85" s="53"/>
      <c r="J85" s="40">
        <f t="shared" si="1"/>
        <v>0</v>
      </c>
    </row>
    <row r="86" spans="1:10" x14ac:dyDescent="0.25">
      <c r="A86" s="53" t="s">
        <v>1767</v>
      </c>
      <c r="B86" s="42" t="s">
        <v>1544</v>
      </c>
      <c r="C86" s="42" t="s">
        <v>1751</v>
      </c>
      <c r="D86" s="42" t="s">
        <v>1545</v>
      </c>
      <c r="E86" s="42" t="s">
        <v>1546</v>
      </c>
      <c r="F86" s="24"/>
      <c r="G86" s="53"/>
      <c r="H86" s="41"/>
      <c r="I86" s="53"/>
      <c r="J86" s="40">
        <f t="shared" si="1"/>
        <v>0</v>
      </c>
    </row>
    <row r="87" spans="1:10" hidden="1" x14ac:dyDescent="0.25">
      <c r="A87" s="53" t="s">
        <v>1753</v>
      </c>
      <c r="B87" s="42" t="s">
        <v>1574</v>
      </c>
      <c r="C87" s="42" t="s">
        <v>1753</v>
      </c>
      <c r="D87" s="42" t="s">
        <v>1575</v>
      </c>
      <c r="E87" s="42" t="s">
        <v>1473</v>
      </c>
      <c r="F87" s="24"/>
      <c r="G87" s="53"/>
      <c r="H87" s="41"/>
      <c r="I87" s="53"/>
      <c r="J87" s="40">
        <f t="shared" si="1"/>
        <v>0</v>
      </c>
    </row>
    <row r="88" spans="1:10" hidden="1" x14ac:dyDescent="0.25">
      <c r="A88" s="53" t="s">
        <v>1753</v>
      </c>
      <c r="B88" s="42" t="s">
        <v>1576</v>
      </c>
      <c r="C88" s="42" t="s">
        <v>1753</v>
      </c>
      <c r="D88" s="42" t="s">
        <v>1577</v>
      </c>
      <c r="E88" s="42" t="s">
        <v>1476</v>
      </c>
      <c r="F88" s="24"/>
      <c r="G88" s="53"/>
      <c r="H88" s="41"/>
      <c r="I88" s="53"/>
      <c r="J88" s="40">
        <f t="shared" si="1"/>
        <v>0</v>
      </c>
    </row>
    <row r="89" spans="1:10" hidden="1" x14ac:dyDescent="0.25">
      <c r="A89" s="53" t="s">
        <v>1753</v>
      </c>
      <c r="B89" s="42" t="s">
        <v>1578</v>
      </c>
      <c r="C89" s="42" t="s">
        <v>1753</v>
      </c>
      <c r="D89" s="42" t="s">
        <v>1579</v>
      </c>
      <c r="E89" s="42" t="s">
        <v>1362</v>
      </c>
      <c r="F89" s="24"/>
      <c r="G89" s="53"/>
      <c r="H89" s="41"/>
      <c r="I89" s="53"/>
      <c r="J89" s="40">
        <f t="shared" si="1"/>
        <v>0</v>
      </c>
    </row>
    <row r="90" spans="1:10" hidden="1" x14ac:dyDescent="0.25">
      <c r="A90" s="53" t="s">
        <v>1753</v>
      </c>
      <c r="B90" s="42" t="s">
        <v>1580</v>
      </c>
      <c r="C90" s="42" t="s">
        <v>1753</v>
      </c>
      <c r="D90" s="42" t="s">
        <v>1581</v>
      </c>
      <c r="E90" s="42" t="s">
        <v>1473</v>
      </c>
      <c r="F90" s="24"/>
      <c r="G90" s="53"/>
      <c r="H90" s="41"/>
      <c r="I90" s="53"/>
      <c r="J90" s="40">
        <f t="shared" si="1"/>
        <v>0</v>
      </c>
    </row>
    <row r="91" spans="1:10" hidden="1" x14ac:dyDescent="0.25">
      <c r="A91" s="53" t="s">
        <v>1753</v>
      </c>
      <c r="B91" s="42" t="s">
        <v>1582</v>
      </c>
      <c r="C91" s="42" t="s">
        <v>1753</v>
      </c>
      <c r="D91" s="42" t="s">
        <v>1583</v>
      </c>
      <c r="E91" s="42" t="s">
        <v>1415</v>
      </c>
      <c r="F91" s="24"/>
      <c r="G91" s="53"/>
      <c r="H91" s="41"/>
      <c r="I91" s="53"/>
      <c r="J91" s="40">
        <f t="shared" si="1"/>
        <v>0</v>
      </c>
    </row>
    <row r="92" spans="1:10" hidden="1" x14ac:dyDescent="0.25">
      <c r="A92" s="53" t="s">
        <v>1753</v>
      </c>
      <c r="B92" s="42" t="s">
        <v>1584</v>
      </c>
      <c r="C92" s="42" t="s">
        <v>1753</v>
      </c>
      <c r="D92" s="42" t="s">
        <v>1585</v>
      </c>
      <c r="E92" s="42" t="s">
        <v>1415</v>
      </c>
      <c r="F92" s="24"/>
      <c r="G92" s="53"/>
      <c r="H92" s="41"/>
      <c r="I92" s="53"/>
      <c r="J92" s="40">
        <f t="shared" si="1"/>
        <v>0</v>
      </c>
    </row>
    <row r="93" spans="1:10" hidden="1" x14ac:dyDescent="0.25">
      <c r="A93" s="53" t="s">
        <v>1753</v>
      </c>
      <c r="B93" s="42" t="s">
        <v>1586</v>
      </c>
      <c r="C93" s="42" t="s">
        <v>1753</v>
      </c>
      <c r="D93" s="42" t="s">
        <v>1587</v>
      </c>
      <c r="E93" s="42" t="s">
        <v>1415</v>
      </c>
      <c r="F93" s="24"/>
      <c r="G93" s="53"/>
      <c r="H93" s="41"/>
      <c r="I93" s="53"/>
      <c r="J93" s="40">
        <f t="shared" si="1"/>
        <v>0</v>
      </c>
    </row>
    <row r="94" spans="1:10" hidden="1" x14ac:dyDescent="0.25">
      <c r="A94" s="53" t="s">
        <v>1753</v>
      </c>
      <c r="B94" s="42" t="s">
        <v>1588</v>
      </c>
      <c r="C94" s="42" t="s">
        <v>1753</v>
      </c>
      <c r="D94" s="42" t="s">
        <v>1589</v>
      </c>
      <c r="E94" s="42" t="s">
        <v>1362</v>
      </c>
      <c r="F94" s="24"/>
      <c r="G94" s="53"/>
      <c r="H94" s="41"/>
      <c r="I94" s="53"/>
      <c r="J94" s="40">
        <f t="shared" si="1"/>
        <v>0</v>
      </c>
    </row>
    <row r="95" spans="1:10" hidden="1" x14ac:dyDescent="0.25">
      <c r="A95" s="53" t="s">
        <v>1753</v>
      </c>
      <c r="B95" s="42" t="s">
        <v>1590</v>
      </c>
      <c r="C95" s="42" t="s">
        <v>1753</v>
      </c>
      <c r="D95" s="42" t="s">
        <v>1591</v>
      </c>
      <c r="E95" s="42" t="s">
        <v>1362</v>
      </c>
      <c r="F95" s="24"/>
      <c r="G95" s="53"/>
      <c r="H95" s="41"/>
      <c r="I95" s="53"/>
      <c r="J95" s="40">
        <f t="shared" si="1"/>
        <v>0</v>
      </c>
    </row>
    <row r="96" spans="1:10" x14ac:dyDescent="0.25">
      <c r="A96" s="53" t="s">
        <v>74</v>
      </c>
      <c r="B96" s="42" t="s">
        <v>1592</v>
      </c>
      <c r="C96" s="42" t="s">
        <v>1754</v>
      </c>
      <c r="D96" s="42" t="s">
        <v>1593</v>
      </c>
      <c r="E96" s="42" t="s">
        <v>1594</v>
      </c>
      <c r="F96" s="24"/>
      <c r="G96" s="53"/>
      <c r="H96" s="41"/>
      <c r="I96" s="53"/>
      <c r="J96" s="40">
        <f t="shared" si="1"/>
        <v>0</v>
      </c>
    </row>
    <row r="97" spans="1:10" x14ac:dyDescent="0.25">
      <c r="A97" s="53" t="s">
        <v>74</v>
      </c>
      <c r="B97" s="42" t="s">
        <v>1595</v>
      </c>
      <c r="C97" s="42" t="s">
        <v>1754</v>
      </c>
      <c r="D97" s="42" t="s">
        <v>1596</v>
      </c>
      <c r="E97" s="42" t="s">
        <v>1597</v>
      </c>
      <c r="F97" s="24"/>
      <c r="G97" s="53"/>
      <c r="H97" s="41"/>
      <c r="I97" s="53"/>
      <c r="J97" s="40">
        <f t="shared" si="1"/>
        <v>0</v>
      </c>
    </row>
    <row r="98" spans="1:10" ht="45" x14ac:dyDescent="0.25">
      <c r="A98" s="53" t="s">
        <v>74</v>
      </c>
      <c r="B98" s="42" t="s">
        <v>1598</v>
      </c>
      <c r="C98" s="42" t="s">
        <v>1754</v>
      </c>
      <c r="D98" s="42" t="s">
        <v>1599</v>
      </c>
      <c r="E98" s="58" t="s">
        <v>1600</v>
      </c>
      <c r="F98" s="24"/>
      <c r="G98" s="53"/>
      <c r="H98" s="41"/>
      <c r="I98" s="53"/>
      <c r="J98" s="40">
        <f t="shared" si="1"/>
        <v>0</v>
      </c>
    </row>
    <row r="99" spans="1:10" x14ac:dyDescent="0.25">
      <c r="A99" s="53" t="s">
        <v>74</v>
      </c>
      <c r="B99" s="42" t="s">
        <v>1601</v>
      </c>
      <c r="C99" s="42" t="s">
        <v>1754</v>
      </c>
      <c r="D99" s="42" t="s">
        <v>1602</v>
      </c>
      <c r="E99" s="42" t="s">
        <v>1603</v>
      </c>
      <c r="F99" s="24"/>
      <c r="G99" s="53"/>
      <c r="H99" s="41"/>
      <c r="I99" s="53"/>
      <c r="J99" s="40">
        <f t="shared" si="1"/>
        <v>0</v>
      </c>
    </row>
    <row r="100" spans="1:10" x14ac:dyDescent="0.25">
      <c r="A100" s="53" t="s">
        <v>74</v>
      </c>
      <c r="B100" s="42" t="s">
        <v>1604</v>
      </c>
      <c r="C100" s="42" t="s">
        <v>1754</v>
      </c>
      <c r="D100" s="42" t="s">
        <v>1605</v>
      </c>
      <c r="E100" s="42" t="s">
        <v>1606</v>
      </c>
      <c r="F100" s="24"/>
      <c r="G100" s="53"/>
      <c r="H100" s="41"/>
      <c r="I100" s="53"/>
      <c r="J100" s="40">
        <f t="shared" si="1"/>
        <v>0</v>
      </c>
    </row>
    <row r="101" spans="1:10" hidden="1" x14ac:dyDescent="0.25">
      <c r="A101" s="53" t="s">
        <v>1746</v>
      </c>
      <c r="B101" s="42" t="s">
        <v>1607</v>
      </c>
      <c r="C101" s="42" t="s">
        <v>1755</v>
      </c>
      <c r="D101" s="42" t="s">
        <v>1608</v>
      </c>
      <c r="E101" s="42" t="s">
        <v>1360</v>
      </c>
      <c r="F101" s="24"/>
      <c r="G101" s="53"/>
      <c r="H101" s="41"/>
      <c r="I101" s="53"/>
      <c r="J101" s="40">
        <f t="shared" si="1"/>
        <v>0</v>
      </c>
    </row>
    <row r="102" spans="1:10" hidden="1" x14ac:dyDescent="0.25">
      <c r="A102" s="53" t="s">
        <v>1768</v>
      </c>
      <c r="B102" s="42" t="s">
        <v>1609</v>
      </c>
      <c r="C102" s="42" t="s">
        <v>1755</v>
      </c>
      <c r="D102" s="42" t="s">
        <v>1610</v>
      </c>
      <c r="E102" s="42" t="s">
        <v>1473</v>
      </c>
      <c r="F102" s="24"/>
      <c r="G102" s="53"/>
      <c r="H102" s="41"/>
      <c r="I102" s="53"/>
      <c r="J102" s="40">
        <f t="shared" si="1"/>
        <v>0</v>
      </c>
    </row>
    <row r="103" spans="1:10" x14ac:dyDescent="0.25">
      <c r="A103" s="53" t="s">
        <v>1745</v>
      </c>
      <c r="B103" s="42" t="s">
        <v>1611</v>
      </c>
      <c r="C103" s="42" t="s">
        <v>1755</v>
      </c>
      <c r="D103" s="42" t="s">
        <v>1612</v>
      </c>
      <c r="E103" s="42" t="s">
        <v>1362</v>
      </c>
      <c r="F103" s="24"/>
      <c r="G103" s="53"/>
      <c r="H103" s="41"/>
      <c r="I103" s="53"/>
      <c r="J103" s="40">
        <f t="shared" si="1"/>
        <v>0</v>
      </c>
    </row>
    <row r="104" spans="1:10" hidden="1" x14ac:dyDescent="0.25">
      <c r="A104" s="53" t="s">
        <v>1764</v>
      </c>
      <c r="B104" s="42" t="s">
        <v>1613</v>
      </c>
      <c r="C104" s="42" t="s">
        <v>1755</v>
      </c>
      <c r="D104" s="42" t="s">
        <v>1614</v>
      </c>
      <c r="E104" s="42" t="s">
        <v>1361</v>
      </c>
      <c r="F104" s="24"/>
      <c r="G104" s="53"/>
      <c r="H104" s="41"/>
      <c r="I104" s="53"/>
      <c r="J104" s="40">
        <f t="shared" si="1"/>
        <v>0</v>
      </c>
    </row>
    <row r="105" spans="1:10" hidden="1" x14ac:dyDescent="0.25">
      <c r="A105" s="53" t="s">
        <v>1764</v>
      </c>
      <c r="B105" s="69" t="s">
        <v>1797</v>
      </c>
      <c r="C105" s="69" t="s">
        <v>1755</v>
      </c>
      <c r="D105" s="69" t="s">
        <v>1799</v>
      </c>
      <c r="E105" s="69" t="s">
        <v>1360</v>
      </c>
      <c r="F105" s="70"/>
      <c r="G105" s="53"/>
      <c r="H105" s="41"/>
      <c r="I105" s="53"/>
      <c r="J105" s="40">
        <f t="shared" si="1"/>
        <v>0</v>
      </c>
    </row>
    <row r="106" spans="1:10" hidden="1" x14ac:dyDescent="0.25">
      <c r="A106" s="53" t="s">
        <v>1764</v>
      </c>
      <c r="B106" s="69" t="s">
        <v>1798</v>
      </c>
      <c r="C106" s="69" t="s">
        <v>1755</v>
      </c>
      <c r="D106" s="69" t="s">
        <v>1800</v>
      </c>
      <c r="E106" s="69" t="s">
        <v>1361</v>
      </c>
      <c r="F106" s="70"/>
      <c r="G106" s="53"/>
      <c r="H106" s="41"/>
      <c r="I106" s="53"/>
      <c r="J106" s="40">
        <f t="shared" si="1"/>
        <v>0</v>
      </c>
    </row>
    <row r="107" spans="1:10" hidden="1" x14ac:dyDescent="0.25">
      <c r="A107" s="53" t="s">
        <v>1760</v>
      </c>
      <c r="B107" s="42" t="s">
        <v>1615</v>
      </c>
      <c r="C107" s="42" t="s">
        <v>1755</v>
      </c>
      <c r="D107" s="42" t="s">
        <v>1616</v>
      </c>
      <c r="E107" s="42" t="s">
        <v>1437</v>
      </c>
      <c r="F107" s="24"/>
      <c r="G107" s="53"/>
      <c r="H107" s="41"/>
      <c r="I107" s="53"/>
      <c r="J107" s="40">
        <f t="shared" si="1"/>
        <v>0</v>
      </c>
    </row>
    <row r="108" spans="1:10" hidden="1" x14ac:dyDescent="0.25">
      <c r="A108" s="53" t="s">
        <v>1760</v>
      </c>
      <c r="B108" s="42" t="s">
        <v>1617</v>
      </c>
      <c r="C108" s="42" t="s">
        <v>1755</v>
      </c>
      <c r="D108" s="42" t="s">
        <v>1618</v>
      </c>
      <c r="E108" s="42" t="s">
        <v>1473</v>
      </c>
      <c r="F108" s="24"/>
      <c r="G108" s="53"/>
      <c r="H108" s="41"/>
      <c r="I108" s="53"/>
      <c r="J108" s="40">
        <f t="shared" si="1"/>
        <v>0</v>
      </c>
    </row>
    <row r="109" spans="1:10" hidden="1" x14ac:dyDescent="0.25">
      <c r="A109" s="53" t="s">
        <v>1760</v>
      </c>
      <c r="B109" s="69" t="s">
        <v>1617</v>
      </c>
      <c r="C109" s="69" t="s">
        <v>1755</v>
      </c>
      <c r="D109" s="69" t="s">
        <v>1801</v>
      </c>
      <c r="E109" s="69" t="s">
        <v>1437</v>
      </c>
      <c r="F109" s="70"/>
      <c r="G109" s="53"/>
      <c r="H109" s="41"/>
      <c r="I109" s="53"/>
      <c r="J109" s="40">
        <f t="shared" si="1"/>
        <v>0</v>
      </c>
    </row>
    <row r="110" spans="1:10" hidden="1" x14ac:dyDescent="0.25">
      <c r="A110" s="53" t="s">
        <v>1746</v>
      </c>
      <c r="B110" s="42" t="s">
        <v>1619</v>
      </c>
      <c r="C110" s="42" t="s">
        <v>1746</v>
      </c>
      <c r="D110" s="42" t="s">
        <v>1620</v>
      </c>
      <c r="E110" s="42" t="s">
        <v>1360</v>
      </c>
      <c r="F110" s="24"/>
      <c r="G110" s="53"/>
      <c r="H110" s="41"/>
      <c r="I110" s="53"/>
      <c r="J110" s="40">
        <f t="shared" si="1"/>
        <v>0</v>
      </c>
    </row>
    <row r="111" spans="1:10" hidden="1" x14ac:dyDescent="0.25">
      <c r="A111" s="53" t="s">
        <v>1746</v>
      </c>
      <c r="B111" s="42" t="s">
        <v>1621</v>
      </c>
      <c r="C111" s="42" t="s">
        <v>1746</v>
      </c>
      <c r="D111" s="42" t="s">
        <v>1622</v>
      </c>
      <c r="E111" s="42" t="s">
        <v>1360</v>
      </c>
      <c r="F111" s="24"/>
      <c r="G111" s="53"/>
      <c r="H111" s="41"/>
      <c r="I111" s="53"/>
      <c r="J111" s="40">
        <f t="shared" si="1"/>
        <v>0</v>
      </c>
    </row>
    <row r="112" spans="1:10" hidden="1" x14ac:dyDescent="0.25">
      <c r="A112" s="53" t="s">
        <v>1746</v>
      </c>
      <c r="B112" s="42" t="s">
        <v>1623</v>
      </c>
      <c r="C112" s="42" t="s">
        <v>1746</v>
      </c>
      <c r="D112" s="42" t="s">
        <v>1624</v>
      </c>
      <c r="E112" s="42" t="s">
        <v>1360</v>
      </c>
      <c r="F112" s="24"/>
      <c r="G112" s="53"/>
      <c r="H112" s="41"/>
      <c r="I112" s="53"/>
      <c r="J112" s="40">
        <f t="shared" si="1"/>
        <v>0</v>
      </c>
    </row>
    <row r="113" spans="1:10" hidden="1" x14ac:dyDescent="0.25">
      <c r="A113" s="53" t="s">
        <v>1746</v>
      </c>
      <c r="B113" s="42" t="s">
        <v>1625</v>
      </c>
      <c r="C113" s="42" t="s">
        <v>1746</v>
      </c>
      <c r="D113" s="42" t="s">
        <v>1626</v>
      </c>
      <c r="E113" s="42" t="s">
        <v>1360</v>
      </c>
      <c r="F113" s="24"/>
      <c r="G113" s="53"/>
      <c r="H113" s="41"/>
      <c r="I113" s="53"/>
      <c r="J113" s="40">
        <f t="shared" si="1"/>
        <v>0</v>
      </c>
    </row>
    <row r="114" spans="1:10" hidden="1" x14ac:dyDescent="0.25">
      <c r="A114" s="53" t="s">
        <v>1746</v>
      </c>
      <c r="B114" s="42" t="s">
        <v>1627</v>
      </c>
      <c r="C114" s="42" t="s">
        <v>1746</v>
      </c>
      <c r="D114" s="42" t="s">
        <v>1628</v>
      </c>
      <c r="E114" s="42" t="s">
        <v>1360</v>
      </c>
      <c r="F114" s="24"/>
      <c r="G114" s="53"/>
      <c r="H114" s="41"/>
      <c r="I114" s="53"/>
      <c r="J114" s="40">
        <f t="shared" si="1"/>
        <v>0</v>
      </c>
    </row>
    <row r="115" spans="1:10" hidden="1" x14ac:dyDescent="0.25">
      <c r="A115" s="53" t="s">
        <v>1746</v>
      </c>
      <c r="B115" s="42" t="s">
        <v>1629</v>
      </c>
      <c r="C115" s="42" t="s">
        <v>1746</v>
      </c>
      <c r="D115" s="42" t="s">
        <v>1630</v>
      </c>
      <c r="E115" s="42" t="s">
        <v>1360</v>
      </c>
      <c r="F115" s="24"/>
      <c r="G115" s="53"/>
      <c r="H115" s="41"/>
      <c r="I115" s="53"/>
      <c r="J115" s="40">
        <f t="shared" si="1"/>
        <v>0</v>
      </c>
    </row>
    <row r="116" spans="1:10" hidden="1" x14ac:dyDescent="0.25">
      <c r="A116" s="53" t="s">
        <v>1746</v>
      </c>
      <c r="B116" s="42" t="s">
        <v>1631</v>
      </c>
      <c r="C116" s="42" t="s">
        <v>1746</v>
      </c>
      <c r="D116" s="42" t="s">
        <v>1632</v>
      </c>
      <c r="E116" s="42" t="s">
        <v>1360</v>
      </c>
      <c r="F116" s="24"/>
      <c r="G116" s="53"/>
      <c r="H116" s="41"/>
      <c r="I116" s="53"/>
      <c r="J116" s="40">
        <f t="shared" si="1"/>
        <v>0</v>
      </c>
    </row>
    <row r="117" spans="1:10" hidden="1" x14ac:dyDescent="0.25">
      <c r="A117" s="53" t="s">
        <v>1746</v>
      </c>
      <c r="B117" s="42" t="s">
        <v>1633</v>
      </c>
      <c r="C117" s="42" t="s">
        <v>1746</v>
      </c>
      <c r="D117" s="42" t="s">
        <v>1634</v>
      </c>
      <c r="E117" s="42" t="s">
        <v>1360</v>
      </c>
      <c r="F117" s="24"/>
      <c r="G117" s="53"/>
      <c r="H117" s="41"/>
      <c r="I117" s="53"/>
      <c r="J117" s="40">
        <f t="shared" si="1"/>
        <v>0</v>
      </c>
    </row>
    <row r="118" spans="1:10" hidden="1" x14ac:dyDescent="0.25">
      <c r="A118" s="53" t="s">
        <v>1746</v>
      </c>
      <c r="B118" s="42" t="s">
        <v>1635</v>
      </c>
      <c r="C118" s="42" t="s">
        <v>1746</v>
      </c>
      <c r="D118" s="42" t="s">
        <v>1636</v>
      </c>
      <c r="E118" s="42" t="s">
        <v>1360</v>
      </c>
      <c r="F118" s="24"/>
      <c r="G118" s="53"/>
      <c r="H118" s="41"/>
      <c r="I118" s="53"/>
      <c r="J118" s="40">
        <f t="shared" si="1"/>
        <v>0</v>
      </c>
    </row>
    <row r="119" spans="1:10" hidden="1" x14ac:dyDescent="0.25">
      <c r="A119" s="53" t="s">
        <v>1746</v>
      </c>
      <c r="B119" s="42" t="s">
        <v>1637</v>
      </c>
      <c r="C119" s="42" t="s">
        <v>1746</v>
      </c>
      <c r="D119" s="42" t="s">
        <v>1638</v>
      </c>
      <c r="E119" s="42" t="s">
        <v>1360</v>
      </c>
      <c r="F119" s="24"/>
      <c r="G119" s="53"/>
      <c r="H119" s="41"/>
      <c r="I119" s="53"/>
      <c r="J119" s="40">
        <f t="shared" si="1"/>
        <v>0</v>
      </c>
    </row>
    <row r="120" spans="1:10" hidden="1" x14ac:dyDescent="0.25">
      <c r="A120" s="53" t="s">
        <v>1746</v>
      </c>
      <c r="B120" s="42" t="s">
        <v>1639</v>
      </c>
      <c r="C120" s="42" t="s">
        <v>1746</v>
      </c>
      <c r="D120" s="42" t="s">
        <v>1640</v>
      </c>
      <c r="E120" s="42" t="s">
        <v>1534</v>
      </c>
      <c r="F120" s="24"/>
      <c r="G120" s="53"/>
      <c r="H120" s="41"/>
      <c r="I120" s="53"/>
      <c r="J120" s="40">
        <f t="shared" si="1"/>
        <v>0</v>
      </c>
    </row>
    <row r="121" spans="1:10" hidden="1" x14ac:dyDescent="0.25">
      <c r="A121" s="53" t="s">
        <v>1746</v>
      </c>
      <c r="B121" s="42" t="s">
        <v>1641</v>
      </c>
      <c r="C121" s="42" t="s">
        <v>1746</v>
      </c>
      <c r="D121" s="42" t="s">
        <v>1642</v>
      </c>
      <c r="E121" s="42" t="s">
        <v>1534</v>
      </c>
      <c r="F121" s="24"/>
      <c r="G121" s="53"/>
      <c r="H121" s="41"/>
      <c r="I121" s="53"/>
      <c r="J121" s="40">
        <f t="shared" si="1"/>
        <v>0</v>
      </c>
    </row>
    <row r="122" spans="1:10" hidden="1" x14ac:dyDescent="0.25">
      <c r="A122" s="53" t="s">
        <v>1746</v>
      </c>
      <c r="B122" s="42" t="s">
        <v>1643</v>
      </c>
      <c r="C122" s="42" t="s">
        <v>1746</v>
      </c>
      <c r="D122" s="42" t="s">
        <v>1644</v>
      </c>
      <c r="E122" s="42" t="s">
        <v>1645</v>
      </c>
      <c r="F122" s="24"/>
      <c r="G122" s="53"/>
      <c r="H122" s="41"/>
      <c r="I122" s="53"/>
      <c r="J122" s="40">
        <f t="shared" si="1"/>
        <v>0</v>
      </c>
    </row>
    <row r="123" spans="1:10" hidden="1" x14ac:dyDescent="0.25">
      <c r="A123" s="53" t="s">
        <v>1746</v>
      </c>
      <c r="B123" s="42" t="s">
        <v>1646</v>
      </c>
      <c r="C123" s="42" t="s">
        <v>1746</v>
      </c>
      <c r="D123" s="42" t="s">
        <v>1647</v>
      </c>
      <c r="E123" s="42" t="s">
        <v>1648</v>
      </c>
      <c r="F123" s="24"/>
      <c r="G123" s="53"/>
      <c r="H123" s="41"/>
      <c r="I123" s="53"/>
      <c r="J123" s="40">
        <f t="shared" si="1"/>
        <v>0</v>
      </c>
    </row>
    <row r="124" spans="1:10" hidden="1" x14ac:dyDescent="0.25">
      <c r="A124" s="53" t="s">
        <v>1746</v>
      </c>
      <c r="B124" s="42" t="s">
        <v>1649</v>
      </c>
      <c r="C124" s="42" t="s">
        <v>1746</v>
      </c>
      <c r="D124" s="42" t="s">
        <v>1650</v>
      </c>
      <c r="E124" s="42" t="s">
        <v>1651</v>
      </c>
      <c r="F124" s="24"/>
      <c r="G124" s="53"/>
      <c r="H124" s="41"/>
      <c r="I124" s="53"/>
      <c r="J124" s="40">
        <f t="shared" ref="J124:J145" si="2">IFERROR(H124-F124,"")</f>
        <v>0</v>
      </c>
    </row>
    <row r="125" spans="1:10" hidden="1" x14ac:dyDescent="0.25">
      <c r="A125" s="53" t="s">
        <v>1746</v>
      </c>
      <c r="B125" s="42" t="s">
        <v>1652</v>
      </c>
      <c r="C125" s="42" t="s">
        <v>1746</v>
      </c>
      <c r="D125" s="42" t="s">
        <v>1653</v>
      </c>
      <c r="E125" s="42" t="s">
        <v>1654</v>
      </c>
      <c r="F125" s="24"/>
      <c r="G125" s="53"/>
      <c r="H125" s="41"/>
      <c r="I125" s="53"/>
      <c r="J125" s="40">
        <f t="shared" si="2"/>
        <v>0</v>
      </c>
    </row>
    <row r="126" spans="1:10" hidden="1" x14ac:dyDescent="0.25">
      <c r="A126" s="53" t="s">
        <v>1746</v>
      </c>
      <c r="B126" s="42" t="s">
        <v>1655</v>
      </c>
      <c r="C126" s="42" t="s">
        <v>1746</v>
      </c>
      <c r="D126" s="42" t="s">
        <v>1656</v>
      </c>
      <c r="E126" s="42" t="s">
        <v>1360</v>
      </c>
      <c r="F126" s="24"/>
      <c r="G126" s="53"/>
      <c r="H126" s="41"/>
      <c r="I126" s="53"/>
      <c r="J126" s="40">
        <f t="shared" si="2"/>
        <v>0</v>
      </c>
    </row>
    <row r="127" spans="1:10" hidden="1" x14ac:dyDescent="0.25">
      <c r="A127" s="53" t="s">
        <v>1760</v>
      </c>
      <c r="B127" s="42" t="s">
        <v>1657</v>
      </c>
      <c r="C127" s="42" t="s">
        <v>1756</v>
      </c>
      <c r="D127" s="42" t="s">
        <v>1658</v>
      </c>
      <c r="E127" s="42" t="s">
        <v>1659</v>
      </c>
      <c r="F127" s="24"/>
      <c r="G127" s="53"/>
      <c r="H127" s="41"/>
      <c r="I127" s="53"/>
      <c r="J127" s="40">
        <f t="shared" si="2"/>
        <v>0</v>
      </c>
    </row>
    <row r="128" spans="1:10" hidden="1" x14ac:dyDescent="0.25">
      <c r="A128" s="53" t="s">
        <v>1760</v>
      </c>
      <c r="B128" s="42" t="s">
        <v>1660</v>
      </c>
      <c r="C128" s="42" t="s">
        <v>1756</v>
      </c>
      <c r="D128" s="42" t="s">
        <v>1661</v>
      </c>
      <c r="E128" s="42" t="s">
        <v>1659</v>
      </c>
      <c r="F128" s="24"/>
      <c r="G128" s="53"/>
      <c r="H128" s="41"/>
      <c r="I128" s="53"/>
      <c r="J128" s="40">
        <f t="shared" si="2"/>
        <v>0</v>
      </c>
    </row>
    <row r="129" spans="1:10" hidden="1" x14ac:dyDescent="0.25">
      <c r="A129" s="53" t="s">
        <v>1760</v>
      </c>
      <c r="B129" s="42" t="s">
        <v>1662</v>
      </c>
      <c r="C129" s="42" t="s">
        <v>1756</v>
      </c>
      <c r="D129" s="42" t="s">
        <v>1663</v>
      </c>
      <c r="E129" s="42" t="s">
        <v>1659</v>
      </c>
      <c r="F129" s="24"/>
      <c r="G129" s="53"/>
      <c r="H129" s="41"/>
      <c r="I129" s="53"/>
      <c r="J129" s="40">
        <f t="shared" si="2"/>
        <v>0</v>
      </c>
    </row>
    <row r="130" spans="1:10" hidden="1" x14ac:dyDescent="0.25">
      <c r="A130" s="53" t="s">
        <v>1760</v>
      </c>
      <c r="B130" s="42" t="s">
        <v>1664</v>
      </c>
      <c r="C130" s="42" t="s">
        <v>1756</v>
      </c>
      <c r="D130" s="42" t="s">
        <v>1665</v>
      </c>
      <c r="E130" s="42" t="s">
        <v>1666</v>
      </c>
      <c r="F130" s="24"/>
      <c r="G130" s="53"/>
      <c r="H130" s="41"/>
      <c r="I130" s="53"/>
      <c r="J130" s="40">
        <f t="shared" si="2"/>
        <v>0</v>
      </c>
    </row>
    <row r="131" spans="1:10" hidden="1" x14ac:dyDescent="0.25">
      <c r="A131" s="53" t="s">
        <v>1760</v>
      </c>
      <c r="B131" s="42" t="s">
        <v>1667</v>
      </c>
      <c r="C131" s="42" t="s">
        <v>1756</v>
      </c>
      <c r="D131" s="42" t="s">
        <v>1668</v>
      </c>
      <c r="E131" s="42" t="s">
        <v>1669</v>
      </c>
      <c r="F131" s="24"/>
      <c r="G131" s="53"/>
      <c r="H131" s="41"/>
      <c r="I131" s="53"/>
      <c r="J131" s="40">
        <f t="shared" si="2"/>
        <v>0</v>
      </c>
    </row>
    <row r="132" spans="1:10" hidden="1" x14ac:dyDescent="0.25">
      <c r="A132" s="53" t="s">
        <v>1760</v>
      </c>
      <c r="B132" s="42" t="s">
        <v>1670</v>
      </c>
      <c r="C132" s="42" t="s">
        <v>1756</v>
      </c>
      <c r="D132" s="42" t="s">
        <v>1671</v>
      </c>
      <c r="E132" s="42" t="s">
        <v>1491</v>
      </c>
      <c r="F132" s="24"/>
      <c r="G132" s="53"/>
      <c r="H132" s="41"/>
      <c r="I132" s="53"/>
      <c r="J132" s="40">
        <f t="shared" si="2"/>
        <v>0</v>
      </c>
    </row>
    <row r="133" spans="1:10" hidden="1" x14ac:dyDescent="0.25">
      <c r="A133" s="53" t="s">
        <v>1760</v>
      </c>
      <c r="B133" s="42" t="s">
        <v>1672</v>
      </c>
      <c r="C133" s="42" t="s">
        <v>1756</v>
      </c>
      <c r="D133" s="42" t="s">
        <v>1673</v>
      </c>
      <c r="E133" s="42" t="s">
        <v>1491</v>
      </c>
      <c r="F133" s="24"/>
      <c r="G133" s="53"/>
      <c r="H133" s="41"/>
      <c r="I133" s="53"/>
      <c r="J133" s="40">
        <f t="shared" si="2"/>
        <v>0</v>
      </c>
    </row>
    <row r="134" spans="1:10" hidden="1" x14ac:dyDescent="0.25">
      <c r="A134" s="53" t="s">
        <v>1760</v>
      </c>
      <c r="B134" s="42" t="s">
        <v>1674</v>
      </c>
      <c r="C134" s="42" t="s">
        <v>1756</v>
      </c>
      <c r="D134" s="42" t="s">
        <v>1675</v>
      </c>
      <c r="E134" s="42" t="s">
        <v>1491</v>
      </c>
      <c r="F134" s="24"/>
      <c r="G134" s="53"/>
      <c r="H134" s="41"/>
      <c r="I134" s="53"/>
      <c r="J134" s="40">
        <f t="shared" si="2"/>
        <v>0</v>
      </c>
    </row>
    <row r="135" spans="1:10" x14ac:dyDescent="0.25">
      <c r="A135" s="53" t="s">
        <v>1745</v>
      </c>
      <c r="B135" s="42" t="s">
        <v>1676</v>
      </c>
      <c r="C135" s="42" t="s">
        <v>1757</v>
      </c>
      <c r="D135" s="42" t="s">
        <v>1677</v>
      </c>
      <c r="E135" s="42" t="s">
        <v>1528</v>
      </c>
      <c r="F135" s="56">
        <v>0</v>
      </c>
      <c r="G135" s="53"/>
      <c r="H135" s="24" t="s">
        <v>1809</v>
      </c>
      <c r="I135" s="53"/>
      <c r="J135" s="40" t="str">
        <f>IFERROR(H135,"")</f>
        <v>INPUT $ AMOUNT</v>
      </c>
    </row>
    <row r="136" spans="1:10" x14ac:dyDescent="0.25">
      <c r="A136" s="53" t="s">
        <v>74</v>
      </c>
      <c r="B136" s="42" t="s">
        <v>1678</v>
      </c>
      <c r="C136" s="42" t="s">
        <v>1758</v>
      </c>
      <c r="D136" s="42" t="s">
        <v>1679</v>
      </c>
      <c r="E136" s="42" t="s">
        <v>1528</v>
      </c>
      <c r="F136" s="56">
        <v>0</v>
      </c>
      <c r="G136" s="53"/>
      <c r="H136" s="24" t="s">
        <v>1809</v>
      </c>
      <c r="I136" s="53"/>
      <c r="J136" s="40" t="str">
        <f>IFERROR(H136,"")</f>
        <v>INPUT $ AMOUNT</v>
      </c>
    </row>
    <row r="137" spans="1:10" hidden="1" x14ac:dyDescent="0.25">
      <c r="A137" s="53" t="s">
        <v>1682</v>
      </c>
      <c r="B137" s="42" t="s">
        <v>1680</v>
      </c>
      <c r="C137" s="42" t="s">
        <v>1759</v>
      </c>
      <c r="D137" s="42" t="s">
        <v>1681</v>
      </c>
      <c r="E137" s="42" t="s">
        <v>1682</v>
      </c>
      <c r="F137" s="24"/>
      <c r="G137" s="53"/>
      <c r="H137" s="41"/>
      <c r="I137" s="53"/>
      <c r="J137" s="40">
        <f t="shared" si="2"/>
        <v>0</v>
      </c>
    </row>
    <row r="138" spans="1:10" hidden="1" x14ac:dyDescent="0.25">
      <c r="A138" s="53" t="s">
        <v>1682</v>
      </c>
      <c r="B138" s="42" t="s">
        <v>1685</v>
      </c>
      <c r="C138" s="42" t="s">
        <v>1759</v>
      </c>
      <c r="D138" s="42" t="s">
        <v>1686</v>
      </c>
      <c r="E138" s="42" t="s">
        <v>1682</v>
      </c>
      <c r="F138" s="24"/>
      <c r="G138" s="53"/>
      <c r="H138" s="41"/>
      <c r="I138" s="53"/>
      <c r="J138" s="40">
        <f t="shared" si="2"/>
        <v>0</v>
      </c>
    </row>
    <row r="139" spans="1:10" hidden="1" x14ac:dyDescent="0.25">
      <c r="A139" s="53" t="s">
        <v>1682</v>
      </c>
      <c r="B139" s="42" t="s">
        <v>1689</v>
      </c>
      <c r="C139" s="42" t="s">
        <v>1759</v>
      </c>
      <c r="D139" s="42" t="s">
        <v>1690</v>
      </c>
      <c r="E139" s="42" t="s">
        <v>1682</v>
      </c>
      <c r="F139" s="24"/>
      <c r="G139" s="53"/>
      <c r="H139" s="41"/>
      <c r="I139" s="53"/>
      <c r="J139" s="40">
        <f t="shared" si="2"/>
        <v>0</v>
      </c>
    </row>
    <row r="140" spans="1:10" hidden="1" x14ac:dyDescent="0.25">
      <c r="A140" s="53" t="s">
        <v>1682</v>
      </c>
      <c r="B140" s="42" t="s">
        <v>1693</v>
      </c>
      <c r="C140" s="42" t="s">
        <v>1759</v>
      </c>
      <c r="D140" s="42" t="s">
        <v>1694</v>
      </c>
      <c r="E140" s="42" t="s">
        <v>1682</v>
      </c>
      <c r="F140" s="24"/>
      <c r="G140" s="53"/>
      <c r="H140" s="41"/>
      <c r="I140" s="53"/>
      <c r="J140" s="40">
        <f t="shared" si="2"/>
        <v>0</v>
      </c>
    </row>
    <row r="141" spans="1:10" hidden="1" x14ac:dyDescent="0.25">
      <c r="A141" s="53" t="s">
        <v>1682</v>
      </c>
      <c r="B141" s="42" t="s">
        <v>1697</v>
      </c>
      <c r="C141" s="42" t="s">
        <v>1759</v>
      </c>
      <c r="D141" s="42" t="s">
        <v>1698</v>
      </c>
      <c r="E141" s="42" t="s">
        <v>1682</v>
      </c>
      <c r="F141" s="24"/>
      <c r="G141" s="53"/>
      <c r="H141" s="41"/>
      <c r="I141" s="53"/>
      <c r="J141" s="40">
        <f t="shared" si="2"/>
        <v>0</v>
      </c>
    </row>
    <row r="142" spans="1:10" hidden="1" x14ac:dyDescent="0.25">
      <c r="A142" s="53" t="s">
        <v>1682</v>
      </c>
      <c r="B142" s="42" t="s">
        <v>1701</v>
      </c>
      <c r="C142" s="42" t="s">
        <v>1759</v>
      </c>
      <c r="D142" s="42" t="s">
        <v>1702</v>
      </c>
      <c r="E142" s="42" t="s">
        <v>1682</v>
      </c>
      <c r="F142" s="24"/>
      <c r="G142" s="53"/>
      <c r="H142" s="41"/>
      <c r="I142" s="53"/>
      <c r="J142" s="40">
        <f t="shared" si="2"/>
        <v>0</v>
      </c>
    </row>
    <row r="143" spans="1:10" hidden="1" x14ac:dyDescent="0.25">
      <c r="A143" s="53" t="s">
        <v>1682</v>
      </c>
      <c r="B143" s="42" t="s">
        <v>1705</v>
      </c>
      <c r="C143" s="42" t="s">
        <v>1759</v>
      </c>
      <c r="D143" s="42" t="s">
        <v>1706</v>
      </c>
      <c r="E143" s="42" t="s">
        <v>1682</v>
      </c>
      <c r="F143" s="24"/>
      <c r="G143" s="53"/>
      <c r="H143" s="41"/>
      <c r="I143" s="53"/>
      <c r="J143" s="40">
        <f t="shared" si="2"/>
        <v>0</v>
      </c>
    </row>
    <row r="144" spans="1:10" hidden="1" x14ac:dyDescent="0.25">
      <c r="A144" s="53" t="s">
        <v>1682</v>
      </c>
      <c r="B144" s="42" t="s">
        <v>1709</v>
      </c>
      <c r="C144" s="42" t="s">
        <v>1759</v>
      </c>
      <c r="D144" s="42" t="s">
        <v>1710</v>
      </c>
      <c r="E144" s="42" t="s">
        <v>1682</v>
      </c>
      <c r="F144" s="24"/>
      <c r="G144" s="53"/>
      <c r="H144" s="41"/>
      <c r="I144" s="53"/>
      <c r="J144" s="40">
        <f t="shared" si="2"/>
        <v>0</v>
      </c>
    </row>
    <row r="145" spans="1:10" hidden="1" x14ac:dyDescent="0.25">
      <c r="A145" s="53" t="s">
        <v>1682</v>
      </c>
      <c r="B145" s="42" t="s">
        <v>1713</v>
      </c>
      <c r="C145" s="42" t="s">
        <v>1759</v>
      </c>
      <c r="D145" s="42" t="s">
        <v>1714</v>
      </c>
      <c r="E145" s="42" t="s">
        <v>1682</v>
      </c>
      <c r="F145" s="24"/>
      <c r="G145" s="53"/>
      <c r="H145" s="41"/>
      <c r="I145" s="53"/>
      <c r="J145" s="40">
        <f t="shared" si="2"/>
        <v>0</v>
      </c>
    </row>
    <row r="146" spans="1:10" ht="15.75" thickBot="1" x14ac:dyDescent="0.3">
      <c r="A146" s="53"/>
      <c r="B146" s="53"/>
      <c r="C146" s="53"/>
      <c r="D146" s="53"/>
      <c r="E146" s="53"/>
      <c r="F146" s="53"/>
      <c r="G146" s="53"/>
      <c r="H146" s="53"/>
      <c r="I146" s="53"/>
      <c r="J146" s="53"/>
    </row>
    <row r="147" spans="1:10" x14ac:dyDescent="0.25">
      <c r="A147" s="53"/>
      <c r="B147" s="85" t="s">
        <v>1821</v>
      </c>
      <c r="C147" s="86"/>
      <c r="D147" s="86"/>
      <c r="E147" s="87"/>
      <c r="F147" s="53"/>
      <c r="G147" s="53"/>
      <c r="H147" s="53"/>
      <c r="I147" s="53"/>
      <c r="J147" s="53"/>
    </row>
    <row r="148" spans="1:10" x14ac:dyDescent="0.25">
      <c r="A148" s="53"/>
      <c r="B148" s="88"/>
      <c r="C148" s="89"/>
      <c r="D148" s="89"/>
      <c r="E148" s="90"/>
      <c r="F148" s="53"/>
      <c r="G148" s="53"/>
      <c r="H148" s="53"/>
      <c r="I148" s="53"/>
      <c r="J148" s="53"/>
    </row>
    <row r="149" spans="1:10" x14ac:dyDescent="0.25">
      <c r="A149" s="53"/>
      <c r="B149" s="88"/>
      <c r="C149" s="89"/>
      <c r="D149" s="89"/>
      <c r="E149" s="90"/>
      <c r="F149" s="53"/>
      <c r="G149" s="53"/>
      <c r="H149" s="53"/>
      <c r="I149" s="53"/>
      <c r="J149" s="53"/>
    </row>
    <row r="150" spans="1:10" x14ac:dyDescent="0.25">
      <c r="A150" s="53"/>
      <c r="B150" s="88"/>
      <c r="C150" s="89"/>
      <c r="D150" s="89"/>
      <c r="E150" s="90"/>
      <c r="F150" s="53"/>
      <c r="G150" s="53"/>
      <c r="H150" s="53"/>
      <c r="I150" s="53"/>
      <c r="J150" s="53"/>
    </row>
    <row r="151" spans="1:10" x14ac:dyDescent="0.25">
      <c r="A151" s="53"/>
      <c r="B151" s="88"/>
      <c r="C151" s="89"/>
      <c r="D151" s="89"/>
      <c r="E151" s="90"/>
      <c r="F151" s="53"/>
      <c r="G151" s="53"/>
      <c r="H151" s="53"/>
      <c r="I151" s="53"/>
      <c r="J151" s="53"/>
    </row>
    <row r="152" spans="1:10" x14ac:dyDescent="0.25">
      <c r="A152" s="53"/>
      <c r="B152" s="88"/>
      <c r="C152" s="89"/>
      <c r="D152" s="89"/>
      <c r="E152" s="90"/>
      <c r="F152" s="53"/>
      <c r="G152" s="53"/>
      <c r="H152" s="53"/>
      <c r="I152" s="53"/>
      <c r="J152" s="53"/>
    </row>
    <row r="153" spans="1:10" x14ac:dyDescent="0.25">
      <c r="A153" s="53"/>
      <c r="B153" s="88"/>
      <c r="C153" s="89"/>
      <c r="D153" s="89"/>
      <c r="E153" s="90"/>
      <c r="F153" s="53"/>
      <c r="G153" s="53"/>
      <c r="H153" s="53"/>
      <c r="I153" s="53"/>
      <c r="J153" s="53"/>
    </row>
    <row r="154" spans="1:10" x14ac:dyDescent="0.25">
      <c r="A154" s="53"/>
      <c r="B154" s="88"/>
      <c r="C154" s="89"/>
      <c r="D154" s="89"/>
      <c r="E154" s="90"/>
      <c r="F154" s="53"/>
      <c r="G154" s="53"/>
      <c r="H154" s="53"/>
      <c r="I154" s="53"/>
      <c r="J154" s="53"/>
    </row>
    <row r="155" spans="1:10" x14ac:dyDescent="0.25">
      <c r="A155" s="53"/>
      <c r="B155" s="88"/>
      <c r="C155" s="89"/>
      <c r="D155" s="89"/>
      <c r="E155" s="90"/>
      <c r="F155" s="53"/>
      <c r="G155" s="53"/>
      <c r="H155" s="53"/>
      <c r="I155" s="53"/>
      <c r="J155" s="53"/>
    </row>
    <row r="156" spans="1:10" x14ac:dyDescent="0.25">
      <c r="A156" s="53"/>
      <c r="B156" s="88"/>
      <c r="C156" s="89"/>
      <c r="D156" s="89"/>
      <c r="E156" s="90"/>
      <c r="F156" s="53"/>
      <c r="G156" s="53"/>
      <c r="H156" s="53"/>
      <c r="I156" s="53"/>
      <c r="J156" s="53"/>
    </row>
    <row r="157" spans="1:10" x14ac:dyDescent="0.25">
      <c r="A157" s="53"/>
      <c r="B157" s="88"/>
      <c r="C157" s="89"/>
      <c r="D157" s="89"/>
      <c r="E157" s="90"/>
      <c r="F157" s="53"/>
      <c r="G157" s="53"/>
      <c r="H157" s="53"/>
      <c r="I157" s="53"/>
      <c r="J157" s="53"/>
    </row>
    <row r="158" spans="1:10" ht="15.75" thickBot="1" x14ac:dyDescent="0.3">
      <c r="A158" s="53"/>
      <c r="B158" s="91"/>
      <c r="C158" s="92"/>
      <c r="D158" s="92"/>
      <c r="E158" s="93"/>
      <c r="F158" s="53"/>
      <c r="G158" s="53"/>
      <c r="H158" s="53"/>
      <c r="I158" s="53"/>
      <c r="J158" s="53"/>
    </row>
  </sheetData>
  <sheetProtection algorithmName="SHA-512" hashValue="lmLejwq9D6B/jkoVYUWuIPqpQzg8xW8KmgDeiu3PO6ipUPUPeWWyF0C3urD7l6cE1sYmzJF7RVufekRDg9+Uqw==" saltValue="I/RQ6XY8KYR9UjL16m1HMw==" spinCount="100000" sheet="1" selectLockedCells="1" autoFilter="0"/>
  <autoFilter ref="A5:J145" xr:uid="{00000000-0009-0000-0000-000001000000}">
    <filterColumn colId="0">
      <filters>
        <filter val="EP"/>
        <filter val="O"/>
        <filter val="P.E."/>
      </filters>
    </filterColumn>
  </autoFilter>
  <mergeCells count="6">
    <mergeCell ref="B147:E158"/>
    <mergeCell ref="L4:N5"/>
    <mergeCell ref="A1:J1"/>
    <mergeCell ref="A2:C2"/>
    <mergeCell ref="A3:C3"/>
    <mergeCell ref="A4:C4"/>
  </mergeCell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'INFO TABLE'!$C$203:$C$328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M177"/>
  <sheetViews>
    <sheetView topLeftCell="A52" zoomScaleNormal="100" workbookViewId="0">
      <selection activeCell="L145" sqref="L145"/>
    </sheetView>
  </sheetViews>
  <sheetFormatPr defaultRowHeight="15" x14ac:dyDescent="0.25"/>
  <cols>
    <col min="2" max="2" width="13" customWidth="1"/>
    <col min="3" max="3" width="12.42578125" bestFit="1" customWidth="1"/>
    <col min="4" max="4" width="64.140625" bestFit="1" customWidth="1"/>
    <col min="5" max="5" width="17.5703125" bestFit="1" customWidth="1"/>
    <col min="6" max="6" width="9.7109375" customWidth="1"/>
    <col min="7" max="7" width="14.85546875" customWidth="1"/>
    <col min="8" max="8" width="10" customWidth="1"/>
    <col min="9" max="9" width="19.28515625" customWidth="1"/>
    <col min="10" max="10" width="9.140625" customWidth="1"/>
    <col min="11" max="11" width="18.7109375" customWidth="1"/>
    <col min="12" max="12" width="13.85546875" customWidth="1"/>
    <col min="13" max="13" width="19.5703125" bestFit="1" customWidth="1"/>
    <col min="14" max="14" width="9.140625" customWidth="1"/>
    <col min="16" max="16" width="10.5703125" customWidth="1"/>
    <col min="21" max="22" width="10.5703125" customWidth="1"/>
    <col min="24" max="24" width="21.5703125" customWidth="1"/>
  </cols>
  <sheetData>
    <row r="1" spans="1:13" ht="36" customHeight="1" thickBot="1" x14ac:dyDescent="0.3">
      <c r="A1" s="114" t="str">
        <f>'CONTRACTOR INPUT'!A1:J1</f>
        <v>BYERS COMMUNICATIONS SOLUTIONS **ESVA 2.0 ONLY**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5"/>
    </row>
    <row r="2" spans="1:13" ht="30.75" customHeight="1" thickBot="1" x14ac:dyDescent="0.3">
      <c r="A2" s="102" t="s">
        <v>12</v>
      </c>
      <c r="B2" s="103"/>
      <c r="C2" s="104"/>
      <c r="D2" s="4" t="str">
        <f>'CONTRACTOR INPUT'!D2</f>
        <v>1128192</v>
      </c>
      <c r="H2" t="str">
        <f>'CONTRACTOR INPUT'!G2</f>
        <v>SUPPLIER #</v>
      </c>
      <c r="I2" t="str">
        <f>SUPPLIER</f>
        <v>1978SW</v>
      </c>
      <c r="K2" s="28">
        <f>'CONTRACTOR INPUT'!J2</f>
        <v>45474</v>
      </c>
      <c r="L2" s="19"/>
      <c r="M2" s="19" t="str">
        <f>INDEX('INFO TABLE'!V2:V26,MATCH(SUPPLIER,'INFO TABLE'!U2:U26,0))</f>
        <v>BYERS</v>
      </c>
    </row>
    <row r="3" spans="1:13" ht="60.75" customHeight="1" thickBot="1" x14ac:dyDescent="0.3">
      <c r="A3" s="116" t="s">
        <v>1744</v>
      </c>
      <c r="B3" s="117"/>
      <c r="C3" s="118"/>
      <c r="D3" s="4" t="str">
        <f>'CONTRACTOR INPUT'!D3</f>
        <v>DEER PARK-    SEHST</v>
      </c>
    </row>
    <row r="4" spans="1:13" ht="15.75" thickBot="1" x14ac:dyDescent="0.3">
      <c r="A4" s="102" t="s">
        <v>1273</v>
      </c>
      <c r="B4" s="103"/>
      <c r="C4" s="104"/>
      <c r="D4" s="18" t="str">
        <f>'CONTRACTOR INPUT'!D4</f>
        <v>SEHST</v>
      </c>
    </row>
    <row r="5" spans="1:13" ht="30.75" thickBot="1" x14ac:dyDescent="0.3">
      <c r="A5" s="13" t="s">
        <v>1743</v>
      </c>
      <c r="B5" s="2" t="s">
        <v>0</v>
      </c>
      <c r="C5" s="44" t="s">
        <v>1748</v>
      </c>
      <c r="D5" s="2" t="s">
        <v>1</v>
      </c>
      <c r="E5" s="2" t="s">
        <v>2</v>
      </c>
      <c r="F5" s="1" t="s">
        <v>3</v>
      </c>
      <c r="G5" s="20" t="s">
        <v>7</v>
      </c>
      <c r="I5" s="1" t="s">
        <v>9</v>
      </c>
      <c r="K5" s="2" t="s">
        <v>6</v>
      </c>
      <c r="L5" s="75" t="s">
        <v>4</v>
      </c>
      <c r="M5" s="21" t="s">
        <v>5</v>
      </c>
    </row>
    <row r="6" spans="1:13" ht="15.75" thickBot="1" x14ac:dyDescent="0.3">
      <c r="A6" s="46" t="str">
        <f>'CONTRACTOR INPUT'!A6</f>
        <v>EP</v>
      </c>
      <c r="B6" s="42" t="str">
        <f>'CONTRACTOR INPUT'!B6</f>
        <v>ESU00A</v>
      </c>
      <c r="C6" s="42" t="str">
        <f>'CONTRACTOR INPUT'!C6</f>
        <v>EWO</v>
      </c>
      <c r="D6" s="42" t="str">
        <f>'CONTRACTOR INPUT'!D6</f>
        <v>EWO Start Up Package</v>
      </c>
      <c r="E6" s="42" t="str">
        <f>'CONTRACTOR INPUT'!E6</f>
        <v>EACH EWO</v>
      </c>
      <c r="F6" s="23">
        <f>'CONTRACTOR INPUT'!F6</f>
        <v>1</v>
      </c>
      <c r="G6" s="60">
        <f t="shared" ref="G6" si="0">IFERROR(L6*F6,"")</f>
        <v>486</v>
      </c>
      <c r="I6" s="22">
        <f>'CONTRACTOR INPUT'!H6</f>
        <v>1</v>
      </c>
      <c r="K6" s="3">
        <f t="shared" ref="K6" si="1">I6-F6</f>
        <v>0</v>
      </c>
      <c r="L6" s="76">
        <f t="array" ref="L6">INDEX('INFO-P'!$G$2:$G$500,MATCH(1,($D$4='INFO-P'!$C$2:$C$500)*(B6='INFO-P'!$B$2:$B$500),0))</f>
        <v>486</v>
      </c>
      <c r="M6" s="29">
        <f>IFERROR(K6*L6,"")</f>
        <v>0</v>
      </c>
    </row>
    <row r="7" spans="1:13" ht="15.75" thickBot="1" x14ac:dyDescent="0.3">
      <c r="A7" s="46" t="str">
        <f>'CONTRACTOR INPUT'!A7</f>
        <v>EP</v>
      </c>
      <c r="B7" s="42" t="str">
        <f>'CONTRACTOR INPUT'!B7</f>
        <v>ERE00A</v>
      </c>
      <c r="C7" s="42" t="str">
        <f>'CONTRACTOR INPUT'!C7</f>
        <v>EWO</v>
      </c>
      <c r="D7" s="42" t="str">
        <f>'CONTRACTOR INPUT'!D7</f>
        <v>EWO Revision</v>
      </c>
      <c r="E7" s="42" t="str">
        <f>'CONTRACTOR INPUT'!E7</f>
        <v>PER PRINT</v>
      </c>
      <c r="F7" s="23">
        <f>'CONTRACTOR INPUT'!F7</f>
        <v>0</v>
      </c>
      <c r="G7" s="60">
        <f t="shared" ref="G7:G70" si="2">IFERROR(L7*F7,"")</f>
        <v>0</v>
      </c>
      <c r="I7" s="22">
        <f>'CONTRACTOR INPUT'!H7</f>
        <v>0</v>
      </c>
      <c r="K7" s="3">
        <f t="shared" ref="K7:K69" si="3">I7-F7</f>
        <v>0</v>
      </c>
      <c r="L7" s="76">
        <f t="array" ref="L7">INDEX('INFO-P'!$G$2:$G$500,MATCH(1,($D$4='INFO-P'!$C$2:$C$500)*(B7='INFO-P'!$B$2:$B$500),0))</f>
        <v>75.599999999999994</v>
      </c>
      <c r="M7" s="29">
        <f t="shared" ref="M7:M70" si="4">IFERROR(K7*L7,"")</f>
        <v>0</v>
      </c>
    </row>
    <row r="8" spans="1:13" ht="15.75" thickBot="1" x14ac:dyDescent="0.3">
      <c r="A8" s="46" t="str">
        <f>'CONTRACTOR INPUT'!A8</f>
        <v>EQUIP</v>
      </c>
      <c r="B8" s="42" t="str">
        <f>'CONTRACTOR INPUT'!B8</f>
        <v>ACE00A</v>
      </c>
      <c r="C8" s="42" t="str">
        <f>'CONTRACTOR INPUT'!C8</f>
        <v>EWO ADDER</v>
      </c>
      <c r="D8" s="42" t="str">
        <f>'CONTRACTOR INPUT'!D8</f>
        <v>CEEOT Entry – Per OSPCM line item – Add on to ACE02A or ACE04A</v>
      </c>
      <c r="E8" s="42" t="str">
        <f>'CONTRACTOR INPUT'!E8</f>
        <v>PER LINE</v>
      </c>
      <c r="F8" s="23">
        <f>'CONTRACTOR INPUT'!F8</f>
        <v>0</v>
      </c>
      <c r="G8" s="60" t="str">
        <f t="shared" si="2"/>
        <v/>
      </c>
      <c r="I8" s="22">
        <f>'CONTRACTOR INPUT'!H8</f>
        <v>0</v>
      </c>
      <c r="K8" s="3">
        <f t="shared" si="3"/>
        <v>0</v>
      </c>
      <c r="L8" s="76" t="str">
        <f t="array" ref="L8">INDEX('INFO-P'!$G$2:$G$500,MATCH(1,($D$4='INFO-P'!$C$2:$C$500)*(B8='INFO-P'!$B$2:$B$500),0))</f>
        <v>Not Priced At This Time.</v>
      </c>
      <c r="M8" s="29" t="str">
        <f t="shared" si="4"/>
        <v/>
      </c>
    </row>
    <row r="9" spans="1:13" ht="15.75" thickBot="1" x14ac:dyDescent="0.3">
      <c r="A9" s="46" t="str">
        <f>'CONTRACTOR INPUT'!A9</f>
        <v>EQUP</v>
      </c>
      <c r="B9" s="42" t="str">
        <f>'CONTRACTOR INPUT'!B9</f>
        <v>ACE02A</v>
      </c>
      <c r="C9" s="42" t="str">
        <f>'CONTRACTOR INPUT'!C9</f>
        <v>EWO ADDER</v>
      </c>
      <c r="D9" s="42" t="str">
        <f>'CONTRACTOR INPUT'!D9</f>
        <v>CEEOT Entry – TELCO Only – Not combined with ACE04A</v>
      </c>
      <c r="E9" s="42" t="str">
        <f>'CONTRACTOR INPUT'!E9</f>
        <v>EWO</v>
      </c>
      <c r="F9" s="23">
        <f>'CONTRACTOR INPUT'!F9</f>
        <v>0</v>
      </c>
      <c r="G9" s="60" t="str">
        <f t="shared" si="2"/>
        <v/>
      </c>
      <c r="I9" s="22">
        <f>'CONTRACTOR INPUT'!H9</f>
        <v>0</v>
      </c>
      <c r="K9" s="3">
        <f t="shared" si="3"/>
        <v>0</v>
      </c>
      <c r="L9" s="76" t="str">
        <f t="array" ref="L9">INDEX('INFO-P'!$G$2:$G$500,MATCH(1,($D$4='INFO-P'!$C$2:$C$500)*(B9='INFO-P'!$B$2:$B$500),0))</f>
        <v>Not Priced At This Time.</v>
      </c>
      <c r="M9" s="29" t="str">
        <f t="shared" si="4"/>
        <v/>
      </c>
    </row>
    <row r="10" spans="1:13" ht="15.75" thickBot="1" x14ac:dyDescent="0.3">
      <c r="A10" s="46" t="str">
        <f>'CONTRACTOR INPUT'!A10</f>
        <v>EQUIP</v>
      </c>
      <c r="B10" s="42" t="str">
        <f>'CONTRACTOR INPUT'!B10</f>
        <v>ACE04A</v>
      </c>
      <c r="C10" s="42" t="str">
        <f>'CONTRACTOR INPUT'!C10</f>
        <v>EWO ADDER</v>
      </c>
      <c r="D10" s="42" t="str">
        <f>'CONTRACTOR INPUT'!D10</f>
        <v>CEEOT Entry – Equipment Vendor Required – Not combined with ACE02A</v>
      </c>
      <c r="E10" s="42" t="str">
        <f>'CONTRACTOR INPUT'!E10</f>
        <v>EWO</v>
      </c>
      <c r="F10" s="23">
        <f>'CONTRACTOR INPUT'!F10</f>
        <v>0</v>
      </c>
      <c r="G10" s="60" t="str">
        <f t="shared" si="2"/>
        <v/>
      </c>
      <c r="I10" s="22">
        <f>'CONTRACTOR INPUT'!H10</f>
        <v>0</v>
      </c>
      <c r="K10" s="3">
        <f t="shared" si="3"/>
        <v>0</v>
      </c>
      <c r="L10" s="76" t="str">
        <f t="array" ref="L10">INDEX('INFO-P'!$G$2:$G$500,MATCH(1,($D$4='INFO-P'!$C$2:$C$500)*(B10='INFO-P'!$B$2:$B$500),0))</f>
        <v>Not Priced At This Time.</v>
      </c>
      <c r="M10" s="29" t="str">
        <f t="shared" si="4"/>
        <v/>
      </c>
    </row>
    <row r="11" spans="1:13" ht="15.75" thickBot="1" x14ac:dyDescent="0.3">
      <c r="A11" s="46" t="str">
        <f>'CONTRACTOR INPUT'!A11</f>
        <v>EP</v>
      </c>
      <c r="B11" s="42" t="str">
        <f>'CONTRACTOR INPUT'!B11</f>
        <v>ACA00A</v>
      </c>
      <c r="C11" s="42" t="str">
        <f>'CONTRACTOR INPUT'!C11</f>
        <v>EWO ADDER</v>
      </c>
      <c r="D11" s="42" t="str">
        <f>'CONTRACTOR INPUT'!D11</f>
        <v>Cable placement all work environments (Does not include new cable in existing structure)</v>
      </c>
      <c r="E11" s="42" t="str">
        <f>'CONTRACTOR INPUT'!E11</f>
        <v>SHEATH FT</v>
      </c>
      <c r="F11" s="23">
        <f>'CONTRACTOR INPUT'!F11</f>
        <v>0</v>
      </c>
      <c r="G11" s="60">
        <f t="shared" si="2"/>
        <v>0</v>
      </c>
      <c r="I11" s="22">
        <f>'CONTRACTOR INPUT'!H11</f>
        <v>0</v>
      </c>
      <c r="K11" s="71">
        <f>I11-F11</f>
        <v>0</v>
      </c>
      <c r="L11" s="76">
        <f t="array" ref="L11">INDEX('INFO-P'!$G$2:$G$500,MATCH(1,($D$4='INFO-P'!$C$2:$C$500)*(B11='INFO-P'!$B$2:$B$500),0))</f>
        <v>0.28000000000000003</v>
      </c>
      <c r="M11" s="29">
        <f>IFERROR(K11*L11,"")</f>
        <v>0</v>
      </c>
    </row>
    <row r="12" spans="1:13" ht="15.75" thickBot="1" x14ac:dyDescent="0.3">
      <c r="A12" s="46" t="str">
        <f>'CONTRACTOR INPUT'!A12</f>
        <v>EP</v>
      </c>
      <c r="B12" s="42" t="str">
        <f>'CONTRACTOR INPUT'!B12</f>
        <v>ACA02A</v>
      </c>
      <c r="C12" s="42" t="str">
        <f>'CONTRACTOR INPUT'!C12</f>
        <v>EWO ADDER</v>
      </c>
      <c r="D12" s="42" t="str">
        <f>'CONTRACTOR INPUT'!D12</f>
        <v>Cable placement in existing Structure</v>
      </c>
      <c r="E12" s="42" t="str">
        <f>'CONTRACTOR INPUT'!E12</f>
        <v>SHEATH FT</v>
      </c>
      <c r="F12" s="23">
        <f>'CONTRACTOR INPUT'!F12</f>
        <v>0</v>
      </c>
      <c r="G12" s="60">
        <f t="shared" si="2"/>
        <v>0</v>
      </c>
      <c r="I12" s="22">
        <f>'CONTRACTOR INPUT'!H12</f>
        <v>0</v>
      </c>
      <c r="K12" s="3">
        <f t="shared" si="3"/>
        <v>0</v>
      </c>
      <c r="L12" s="76">
        <f t="array" ref="L12">INDEX('INFO-P'!$G$2:$G$500,MATCH(1,($D$4='INFO-P'!$C$2:$C$500)*(B12='INFO-P'!$B$2:$B$500),0))</f>
        <v>0.24</v>
      </c>
      <c r="M12" s="29">
        <f t="shared" si="4"/>
        <v>0</v>
      </c>
    </row>
    <row r="13" spans="1:13" ht="15.75" thickBot="1" x14ac:dyDescent="0.3">
      <c r="A13" s="46" t="str">
        <f>'CONTRACTOR INPUT'!A13</f>
        <v>EP</v>
      </c>
      <c r="B13" s="42" t="str">
        <f>'CONTRACTOR INPUT'!B13</f>
        <v>ACA04A</v>
      </c>
      <c r="C13" s="42" t="str">
        <f>'CONTRACTOR INPUT'!C13</f>
        <v>EWO ADDER</v>
      </c>
      <c r="D13" s="42" t="str">
        <f>'CONTRACTOR INPUT'!D13</f>
        <v>Remove/Abandon Cable</v>
      </c>
      <c r="E13" s="42" t="str">
        <f>'CONTRACTOR INPUT'!E13</f>
        <v>SHEATH FT</v>
      </c>
      <c r="F13" s="23">
        <f>'CONTRACTOR INPUT'!F13</f>
        <v>0</v>
      </c>
      <c r="G13" s="60">
        <f t="shared" si="2"/>
        <v>0</v>
      </c>
      <c r="I13" s="22">
        <f>'CONTRACTOR INPUT'!H13</f>
        <v>0</v>
      </c>
      <c r="K13" s="3">
        <f t="shared" si="3"/>
        <v>0</v>
      </c>
      <c r="L13" s="76">
        <f t="array" ref="L13">INDEX('INFO-P'!$G$2:$G$500,MATCH(1,($D$4='INFO-P'!$C$2:$C$500)*(B13='INFO-P'!$B$2:$B$500),0))</f>
        <v>0.15</v>
      </c>
      <c r="M13" s="29">
        <f>IFERROR(K13*L13,"")</f>
        <v>0</v>
      </c>
    </row>
    <row r="14" spans="1:13" ht="15.75" thickBot="1" x14ac:dyDescent="0.3">
      <c r="A14" s="46" t="str">
        <f>'CONTRACTOR INPUT'!A14</f>
        <v>EP</v>
      </c>
      <c r="B14" s="42" t="str">
        <f>'CONTRACTOR INPUT'!B14</f>
        <v>ACA06A</v>
      </c>
      <c r="C14" s="42" t="str">
        <f>'CONTRACTOR INPUT'!C14</f>
        <v>EWO ADDER</v>
      </c>
      <c r="D14" s="42" t="str">
        <f>'CONTRACTOR INPUT'!D14</f>
        <v>CABLE /FIBER (PLACING) PARALLEL All Environments</v>
      </c>
      <c r="E14" s="42" t="str">
        <f>'CONTRACTOR INPUT'!E14</f>
        <v>SHEATH FT</v>
      </c>
      <c r="F14" s="23">
        <f>'CONTRACTOR INPUT'!F14</f>
        <v>0</v>
      </c>
      <c r="G14" s="60">
        <f t="shared" si="2"/>
        <v>0</v>
      </c>
      <c r="I14" s="22">
        <f>'CONTRACTOR INPUT'!H14</f>
        <v>0</v>
      </c>
      <c r="K14" s="3">
        <f t="shared" si="3"/>
        <v>0</v>
      </c>
      <c r="L14" s="76">
        <f t="array" ref="L14">INDEX('INFO-P'!$G$2:$G$500,MATCH(1,($D$4='INFO-P'!$C$2:$C$500)*(B14='INFO-P'!$B$2:$B$500),0))</f>
        <v>0.13</v>
      </c>
      <c r="M14" s="29">
        <f t="shared" si="4"/>
        <v>0</v>
      </c>
    </row>
    <row r="15" spans="1:13" ht="15.75" thickBot="1" x14ac:dyDescent="0.3">
      <c r="A15" s="46" t="str">
        <f>'CONTRACTOR INPUT'!A15</f>
        <v>O</v>
      </c>
      <c r="B15" s="42" t="str">
        <f>'CONTRACTOR INPUT'!B15</f>
        <v>ACA08A</v>
      </c>
      <c r="C15" s="42" t="str">
        <f>'CONTRACTOR INPUT'!C15</f>
        <v>EWO ADDER</v>
      </c>
      <c r="D15" s="42" t="str">
        <f>'CONTRACTOR INPUT'!D15</f>
        <v>CABLE/FIBER (RELOCATION) - All Environments</v>
      </c>
      <c r="E15" s="42" t="str">
        <f>'CONTRACTOR INPUT'!E15</f>
        <v>SHEATH FT</v>
      </c>
      <c r="F15" s="23">
        <f>'CONTRACTOR INPUT'!F15</f>
        <v>0</v>
      </c>
      <c r="G15" s="60">
        <f t="shared" si="2"/>
        <v>0</v>
      </c>
      <c r="I15" s="22">
        <f>'CONTRACTOR INPUT'!H15</f>
        <v>0</v>
      </c>
      <c r="K15" s="3">
        <f t="shared" si="3"/>
        <v>0</v>
      </c>
      <c r="L15" s="76">
        <f t="array" ref="L15">INDEX('INFO-P'!$G$2:$G$500,MATCH(1,($D$4='INFO-P'!$C$2:$C$500)*(B15='INFO-P'!$B$2:$B$500),0))</f>
        <v>0.19</v>
      </c>
      <c r="M15" s="29">
        <f t="shared" si="4"/>
        <v>0</v>
      </c>
    </row>
    <row r="16" spans="1:13" ht="15.75" thickBot="1" x14ac:dyDescent="0.3">
      <c r="A16" s="46" t="str">
        <f>'CONTRACTOR INPUT'!A16</f>
        <v>EP</v>
      </c>
      <c r="B16" s="42" t="str">
        <f>'CONTRACTOR INPUT'!B16</f>
        <v>ACA10A</v>
      </c>
      <c r="C16" s="42" t="str">
        <f>'CONTRACTOR INPUT'!C16</f>
        <v>EWO ADDER</v>
      </c>
      <c r="D16" s="42" t="str">
        <f>'CONTRACTOR INPUT'!D16</f>
        <v>Cable placement-all work environments-Fiber  Overbuild/IFP/LightGig/Brownfield, etc. (Does not include new cable in existing structure)</v>
      </c>
      <c r="E16" s="42" t="str">
        <f>'CONTRACTOR INPUT'!E16</f>
        <v>SHEATH FT</v>
      </c>
      <c r="F16" s="23">
        <f>'CONTRACTOR INPUT'!F16</f>
        <v>0</v>
      </c>
      <c r="G16" s="60">
        <f t="shared" si="2"/>
        <v>0</v>
      </c>
      <c r="I16" s="22">
        <f>'CONTRACTOR INPUT'!H16</f>
        <v>0</v>
      </c>
      <c r="K16" s="3">
        <f t="shared" si="3"/>
        <v>0</v>
      </c>
      <c r="L16" s="76">
        <f t="array" ref="L16">INDEX('INFO-P'!$G$2:$G$500,MATCH(1,($D$4='INFO-P'!$C$2:$C$500)*(B16='INFO-P'!$B$2:$B$500),0))</f>
        <v>0.41</v>
      </c>
      <c r="M16" s="29">
        <f t="shared" si="4"/>
        <v>0</v>
      </c>
    </row>
    <row r="17" spans="1:13" ht="15.75" thickBot="1" x14ac:dyDescent="0.3">
      <c r="A17" s="46" t="str">
        <f>'CONTRACTOR INPUT'!A17</f>
        <v>EP</v>
      </c>
      <c r="B17" s="42" t="str">
        <f>'CONTRACTOR INPUT'!B17</f>
        <v>ACA12A</v>
      </c>
      <c r="C17" s="42" t="str">
        <f>'CONTRACTOR INPUT'!C17</f>
        <v>EWO ADDER</v>
      </c>
      <c r="D17" s="42" t="str">
        <f>'CONTRACTOR INPUT'!D17</f>
        <v>Cable placement in existing Structure-Fiber Overbuild/IFP/LightGig/Brownfield, etc.</v>
      </c>
      <c r="E17" s="42" t="str">
        <f>'CONTRACTOR INPUT'!E17</f>
        <v>SHEATH FT</v>
      </c>
      <c r="F17" s="23">
        <f>'CONTRACTOR INPUT'!F17</f>
        <v>0</v>
      </c>
      <c r="G17" s="60">
        <f t="shared" si="2"/>
        <v>0</v>
      </c>
      <c r="I17" s="22">
        <f>'CONTRACTOR INPUT'!H17</f>
        <v>0</v>
      </c>
      <c r="K17" s="3">
        <f t="shared" si="3"/>
        <v>0</v>
      </c>
      <c r="L17" s="76">
        <f t="array" ref="L17">INDEX('INFO-P'!$G$2:$G$500,MATCH(1,($D$4='INFO-P'!$C$2:$C$500)*(B17='INFO-P'!$B$2:$B$500),0))</f>
        <v>0.37</v>
      </c>
      <c r="M17" s="29">
        <f t="shared" si="4"/>
        <v>0</v>
      </c>
    </row>
    <row r="18" spans="1:13" ht="15.75" thickBot="1" x14ac:dyDescent="0.3">
      <c r="A18" s="46" t="str">
        <f>'CONTRACTOR INPUT'!A18</f>
        <v>O</v>
      </c>
      <c r="B18" s="42" t="str">
        <f>'CONTRACTOR INPUT'!B18</f>
        <v>ACA14A</v>
      </c>
      <c r="C18" s="42" t="str">
        <f>'CONTRACTOR INPUT'!C18</f>
        <v>EWO ADDER</v>
      </c>
      <c r="D18" s="42" t="str">
        <f>'CONTRACTOR INPUT'!D18</f>
        <v>Fiber Overbuild IQ Design Adder to EWO Startup</v>
      </c>
      <c r="E18" s="42" t="str">
        <f>'CONTRACTOR INPUT'!E18</f>
        <v>LU/BCL</v>
      </c>
      <c r="F18" s="23">
        <f>'CONTRACTOR INPUT'!F18</f>
        <v>0</v>
      </c>
      <c r="G18" s="60">
        <f t="shared" si="2"/>
        <v>0</v>
      </c>
      <c r="I18" s="22">
        <f>'CONTRACTOR INPUT'!H18</f>
        <v>0</v>
      </c>
      <c r="K18" s="3">
        <f t="shared" si="3"/>
        <v>0</v>
      </c>
      <c r="L18" s="76">
        <f t="array" ref="L18">INDEX('INFO-P'!$G$2:$G$500,MATCH(1,($D$4='INFO-P'!$C$2:$C$500)*(B18='INFO-P'!$B$2:$B$500),0))</f>
        <v>19.670000000000002</v>
      </c>
      <c r="M18" s="29">
        <f t="shared" si="4"/>
        <v>0</v>
      </c>
    </row>
    <row r="19" spans="1:13" ht="15.75" thickBot="1" x14ac:dyDescent="0.3">
      <c r="A19" s="46" t="str">
        <f>'CONTRACTOR INPUT'!A19</f>
        <v>O</v>
      </c>
      <c r="B19" s="42" t="str">
        <f>'CONTRACTOR INPUT'!B19</f>
        <v>ACA16A</v>
      </c>
      <c r="C19" s="42" t="str">
        <f>'CONTRACTOR INPUT'!C19</f>
        <v>EWO ADDER</v>
      </c>
      <c r="D19" s="42" t="str">
        <f>'CONTRACTOR INPUT'!D19</f>
        <v>Fiber Overbuild IQ Design – post Fielding complete</v>
      </c>
      <c r="E19" s="42" t="str">
        <f>'CONTRACTOR INPUT'!E19</f>
        <v>LU/BCL</v>
      </c>
      <c r="F19" s="23">
        <f>'CONTRACTOR INPUT'!F19</f>
        <v>0</v>
      </c>
      <c r="G19" s="60">
        <f t="shared" si="2"/>
        <v>0</v>
      </c>
      <c r="I19" s="22">
        <f>'CONTRACTOR INPUT'!H19</f>
        <v>0</v>
      </c>
      <c r="K19" s="3">
        <f t="shared" si="3"/>
        <v>0</v>
      </c>
      <c r="L19" s="76">
        <f t="array" ref="L19">INDEX('INFO-P'!$G$2:$G$500,MATCH(1,($D$4='INFO-P'!$C$2:$C$500)*(B19='INFO-P'!$B$2:$B$500),0))</f>
        <v>7.87</v>
      </c>
      <c r="M19" s="29">
        <f t="shared" si="4"/>
        <v>0</v>
      </c>
    </row>
    <row r="20" spans="1:13" ht="15.75" thickBot="1" x14ac:dyDescent="0.3">
      <c r="A20" s="46" t="str">
        <f>'CONTRACTOR INPUT'!A20</f>
        <v>CIVIC</v>
      </c>
      <c r="B20" s="42" t="str">
        <f>'CONTRACTOR INPUT'!B20</f>
        <v>AMH00A</v>
      </c>
      <c r="C20" s="42" t="str">
        <f>'CONTRACTOR INPUT'!C20</f>
        <v>EWO ADDER</v>
      </c>
      <c r="D20" s="42" t="str">
        <f>'CONTRACTOR INPUT'!D20</f>
        <v>New Pre-Cast Manhole</v>
      </c>
      <c r="E20" s="42" t="str">
        <f>'CONTRACTOR INPUT'!E20</f>
        <v>MANHOLE</v>
      </c>
      <c r="F20" s="23">
        <f>'CONTRACTOR INPUT'!F20</f>
        <v>0</v>
      </c>
      <c r="G20" s="60">
        <f t="shared" si="2"/>
        <v>0</v>
      </c>
      <c r="I20" s="22">
        <f>'CONTRACTOR INPUT'!H20</f>
        <v>0</v>
      </c>
      <c r="K20" s="3">
        <f t="shared" si="3"/>
        <v>0</v>
      </c>
      <c r="L20" s="76">
        <f t="array" ref="L20">INDEX('INFO-P'!$G$2:$G$500,MATCH(1,($D$4='INFO-P'!$C$2:$C$500)*(B20='INFO-P'!$B$2:$B$500),0))</f>
        <v>183.02</v>
      </c>
      <c r="M20" s="29">
        <f t="shared" si="4"/>
        <v>0</v>
      </c>
    </row>
    <row r="21" spans="1:13" ht="15.75" thickBot="1" x14ac:dyDescent="0.3">
      <c r="A21" s="46" t="str">
        <f>'CONTRACTOR INPUT'!A21</f>
        <v>CIVIC</v>
      </c>
      <c r="B21" s="42" t="str">
        <f>'CONTRACTOR INPUT'!B21</f>
        <v>AMH02A</v>
      </c>
      <c r="C21" s="42" t="str">
        <f>'CONTRACTOR INPUT'!C21</f>
        <v>EWO ADDER</v>
      </c>
      <c r="D21" s="42" t="str">
        <f>'CONTRACTOR INPUT'!D21</f>
        <v>New Cast-in-Place manhole</v>
      </c>
      <c r="E21" s="42" t="str">
        <f>'CONTRACTOR INPUT'!E21</f>
        <v>MANHOLE</v>
      </c>
      <c r="F21" s="23">
        <f>'CONTRACTOR INPUT'!F21</f>
        <v>0</v>
      </c>
      <c r="G21" s="60">
        <f t="shared" si="2"/>
        <v>0</v>
      </c>
      <c r="I21" s="22">
        <f>'CONTRACTOR INPUT'!H21</f>
        <v>0</v>
      </c>
      <c r="K21" s="3">
        <f t="shared" si="3"/>
        <v>0</v>
      </c>
      <c r="L21" s="76">
        <f t="array" ref="L21">INDEX('INFO-P'!$G$2:$G$500,MATCH(1,($D$4='INFO-P'!$C$2:$C$500)*(B21='INFO-P'!$B$2:$B$500),0))</f>
        <v>338.44</v>
      </c>
      <c r="M21" s="29">
        <f t="shared" si="4"/>
        <v>0</v>
      </c>
    </row>
    <row r="22" spans="1:13" ht="15.75" thickBot="1" x14ac:dyDescent="0.3">
      <c r="A22" s="46" t="str">
        <f>'CONTRACTOR INPUT'!A22</f>
        <v>CIVIC</v>
      </c>
      <c r="B22" s="42" t="str">
        <f>'CONTRACTOR INPUT'!B22</f>
        <v>AMH04A</v>
      </c>
      <c r="C22" s="42" t="str">
        <f>'CONTRACTOR INPUT'!C22</f>
        <v>EWO ADDER</v>
      </c>
      <c r="D22" s="42" t="str">
        <f>'CONTRACTOR INPUT'!D22</f>
        <v>Conduit in Manhole System</v>
      </c>
      <c r="E22" s="42" t="str">
        <f>'CONTRACTOR INPUT'!E22</f>
        <v>TRENCH FT</v>
      </c>
      <c r="F22" s="23">
        <f>'CONTRACTOR INPUT'!F22</f>
        <v>0</v>
      </c>
      <c r="G22" s="60">
        <f t="shared" si="2"/>
        <v>0</v>
      </c>
      <c r="I22" s="22">
        <f>'CONTRACTOR INPUT'!H22</f>
        <v>0</v>
      </c>
      <c r="K22" s="3">
        <f t="shared" si="3"/>
        <v>0</v>
      </c>
      <c r="L22" s="76">
        <f t="array" ref="L22">INDEX('INFO-P'!$G$2:$G$500,MATCH(1,($D$4='INFO-P'!$C$2:$C$500)*(B22='INFO-P'!$B$2:$B$500),0))</f>
        <v>0.39</v>
      </c>
      <c r="M22" s="29">
        <f t="shared" si="4"/>
        <v>0</v>
      </c>
    </row>
    <row r="23" spans="1:13" ht="15.75" thickBot="1" x14ac:dyDescent="0.3">
      <c r="A23" s="46" t="str">
        <f>'CONTRACTOR INPUT'!A23</f>
        <v>O</v>
      </c>
      <c r="B23" s="42" t="str">
        <f>'CONTRACTOR INPUT'!B23</f>
        <v>AMH06A</v>
      </c>
      <c r="C23" s="42" t="str">
        <f>'CONTRACTOR INPUT'!C23</f>
        <v>EWO ADDER</v>
      </c>
      <c r="D23" s="42" t="str">
        <f>'CONTRACTOR INPUT'!D23</f>
        <v>Future Use Conduit or Innerduct</v>
      </c>
      <c r="E23" s="42" t="str">
        <f>'CONTRACTOR INPUT'!E23</f>
        <v>PER FT</v>
      </c>
      <c r="F23" s="23">
        <f>'CONTRACTOR INPUT'!F23</f>
        <v>0</v>
      </c>
      <c r="G23" s="60">
        <f t="shared" si="2"/>
        <v>0</v>
      </c>
      <c r="I23" s="22">
        <f>'CONTRACTOR INPUT'!H23</f>
        <v>0</v>
      </c>
      <c r="K23" s="3">
        <f t="shared" si="3"/>
        <v>0</v>
      </c>
      <c r="L23" s="76">
        <f t="array" ref="L23">INDEX('INFO-P'!$G$2:$G$500,MATCH(1,($D$4='INFO-P'!$C$2:$C$500)*(B23='INFO-P'!$B$2:$B$500),0))</f>
        <v>0.21</v>
      </c>
      <c r="M23" s="29">
        <f t="shared" si="4"/>
        <v>0</v>
      </c>
    </row>
    <row r="24" spans="1:13" ht="15.75" thickBot="1" x14ac:dyDescent="0.3">
      <c r="A24" s="46" t="str">
        <f>'CONTRACTOR INPUT'!A24</f>
        <v>CIVIC</v>
      </c>
      <c r="B24" s="42" t="str">
        <f>'CONTRACTOR INPUT'!B24</f>
        <v>AMH08A</v>
      </c>
      <c r="C24" s="42" t="str">
        <f>'CONTRACTOR INPUT'!C24</f>
        <v>EWO ADDER</v>
      </c>
      <c r="D24" s="42" t="str">
        <f>'CONTRACTOR INPUT'!D24</f>
        <v>Conduit in Manhole SCALED PLAN/Plan and Profile</v>
      </c>
      <c r="E24" s="42" t="str">
        <f>'CONTRACTOR INPUT'!E24</f>
        <v>TR FT</v>
      </c>
      <c r="F24" s="23">
        <f>'CONTRACTOR INPUT'!F24</f>
        <v>0</v>
      </c>
      <c r="G24" s="60">
        <f t="shared" si="2"/>
        <v>0</v>
      </c>
      <c r="I24" s="22">
        <f>'CONTRACTOR INPUT'!H24</f>
        <v>0</v>
      </c>
      <c r="K24" s="3">
        <f t="shared" si="3"/>
        <v>0</v>
      </c>
      <c r="L24" s="76">
        <f t="array" ref="L24">INDEX('INFO-P'!$G$2:$G$500,MATCH(1,($D$4='INFO-P'!$C$2:$C$500)*(B24='INFO-P'!$B$2:$B$500),0))</f>
        <v>0.79</v>
      </c>
      <c r="M24" s="29">
        <f t="shared" si="4"/>
        <v>0</v>
      </c>
    </row>
    <row r="25" spans="1:13" ht="15.75" thickBot="1" x14ac:dyDescent="0.3">
      <c r="A25" s="46" t="str">
        <f>'CONTRACTOR INPUT'!A25</f>
        <v>CIVIC</v>
      </c>
      <c r="B25" s="42" t="str">
        <f>'CONTRACTOR INPUT'!B25</f>
        <v>AMH10A</v>
      </c>
      <c r="C25" s="42" t="str">
        <f>'CONTRACTOR INPUT'!C25</f>
        <v>EWO ADDER</v>
      </c>
      <c r="D25" s="42" t="str">
        <f>'CONTRACTOR INPUT'!D25</f>
        <v>CONDUIT RELOCATION</v>
      </c>
      <c r="E25" s="42" t="str">
        <f>'CONTRACTOR INPUT'!E25</f>
        <v>TR FT</v>
      </c>
      <c r="F25" s="23">
        <f>'CONTRACTOR INPUT'!F25</f>
        <v>0</v>
      </c>
      <c r="G25" s="60">
        <f t="shared" si="2"/>
        <v>0</v>
      </c>
      <c r="I25" s="22">
        <f>'CONTRACTOR INPUT'!H25</f>
        <v>0</v>
      </c>
      <c r="K25" s="3">
        <f t="shared" si="3"/>
        <v>0</v>
      </c>
      <c r="L25" s="76">
        <f t="array" ref="L25">INDEX('INFO-P'!$G$2:$G$500,MATCH(1,($D$4='INFO-P'!$C$2:$C$500)*(B25='INFO-P'!$B$2:$B$500),0))</f>
        <v>0.18</v>
      </c>
      <c r="M25" s="29">
        <f t="shared" si="4"/>
        <v>0</v>
      </c>
    </row>
    <row r="26" spans="1:13" ht="15.75" thickBot="1" x14ac:dyDescent="0.3">
      <c r="A26" s="46" t="str">
        <f>'CONTRACTOR INPUT'!A26</f>
        <v>CIVIC</v>
      </c>
      <c r="B26" s="42" t="str">
        <f>'CONTRACTOR INPUT'!B26</f>
        <v>AMH12A</v>
      </c>
      <c r="C26" s="42" t="str">
        <f>'CONTRACTOR INPUT'!C26</f>
        <v>EWO ADDER</v>
      </c>
      <c r="D26" s="42" t="str">
        <f>'CONTRACTOR INPUT'!D26</f>
        <v>Structural Inspection of MH - Pour in Place</v>
      </c>
      <c r="E26" s="42" t="str">
        <f>'CONTRACTOR INPUT'!E26</f>
        <v>EACH MH</v>
      </c>
      <c r="F26" s="23">
        <f>'CONTRACTOR INPUT'!F26</f>
        <v>0</v>
      </c>
      <c r="G26" s="60">
        <f t="shared" si="2"/>
        <v>0</v>
      </c>
      <c r="I26" s="22">
        <f>'CONTRACTOR INPUT'!H26</f>
        <v>0</v>
      </c>
      <c r="K26" s="3">
        <f t="shared" si="3"/>
        <v>0</v>
      </c>
      <c r="L26" s="76">
        <f t="array" ref="L26">INDEX('INFO-P'!$G$2:$G$500,MATCH(1,($D$4='INFO-P'!$C$2:$C$500)*(B26='INFO-P'!$B$2:$B$500),0))</f>
        <v>909.47</v>
      </c>
      <c r="M26" s="29">
        <f t="shared" si="4"/>
        <v>0</v>
      </c>
    </row>
    <row r="27" spans="1:13" ht="15.75" thickBot="1" x14ac:dyDescent="0.3">
      <c r="A27" s="46" t="str">
        <f>'CONTRACTOR INPUT'!A27</f>
        <v>CIVIC</v>
      </c>
      <c r="B27" s="42" t="str">
        <f>'CONTRACTOR INPUT'!B27</f>
        <v>AMH14A</v>
      </c>
      <c r="C27" s="42" t="str">
        <f>'CONTRACTOR INPUT'!C27</f>
        <v>EWO ADDER</v>
      </c>
      <c r="D27" s="42" t="str">
        <f>'CONTRACTOR INPUT'!D27</f>
        <v>MANHOLE DETAIL – ELEVATIONS</v>
      </c>
      <c r="E27" s="42" t="str">
        <f>'CONTRACTOR INPUT'!E27</f>
        <v>EACH MH</v>
      </c>
      <c r="F27" s="23">
        <f>'CONTRACTOR INPUT'!F27</f>
        <v>0</v>
      </c>
      <c r="G27" s="60">
        <f t="shared" si="2"/>
        <v>0</v>
      </c>
      <c r="I27" s="22">
        <f>'CONTRACTOR INPUT'!H27</f>
        <v>0</v>
      </c>
      <c r="K27" s="3">
        <f t="shared" si="3"/>
        <v>0</v>
      </c>
      <c r="L27" s="76">
        <f t="array" ref="L27">INDEX('INFO-P'!$G$2:$G$500,MATCH(1,($D$4='INFO-P'!$C$2:$C$500)*(B27='INFO-P'!$B$2:$B$500),0))</f>
        <v>296.45999999999998</v>
      </c>
      <c r="M27" s="29">
        <f t="shared" si="4"/>
        <v>0</v>
      </c>
    </row>
    <row r="28" spans="1:13" ht="15.75" thickBot="1" x14ac:dyDescent="0.3">
      <c r="A28" s="46" t="str">
        <f>'CONTRACTOR INPUT'!A28</f>
        <v>CIVIC</v>
      </c>
      <c r="B28" s="42" t="str">
        <f>'CONTRACTOR INPUT'!B28</f>
        <v>AMH16A</v>
      </c>
      <c r="C28" s="42" t="str">
        <f>'CONTRACTOR INPUT'!C28</f>
        <v>EWO ADDER</v>
      </c>
      <c r="D28" s="42" t="str">
        <f>'CONTRACTOR INPUT'!D28</f>
        <v>MANHOLE FRAME/COVER ADJUSTMENT</v>
      </c>
      <c r="E28" s="42" t="str">
        <f>'CONTRACTOR INPUT'!E28</f>
        <v>EACH MH</v>
      </c>
      <c r="F28" s="23">
        <f>'CONTRACTOR INPUT'!F28</f>
        <v>0</v>
      </c>
      <c r="G28" s="60">
        <f t="shared" si="2"/>
        <v>0</v>
      </c>
      <c r="I28" s="22">
        <f>'CONTRACTOR INPUT'!H28</f>
        <v>0</v>
      </c>
      <c r="K28" s="3">
        <f t="shared" si="3"/>
        <v>0</v>
      </c>
      <c r="L28" s="76">
        <f t="array" ref="L28">INDEX('INFO-P'!$G$2:$G$500,MATCH(1,($D$4='INFO-P'!$C$2:$C$500)*(B28='INFO-P'!$B$2:$B$500),0))</f>
        <v>60.61</v>
      </c>
      <c r="M28" s="29">
        <f t="shared" si="4"/>
        <v>0</v>
      </c>
    </row>
    <row r="29" spans="1:13" ht="15.75" thickBot="1" x14ac:dyDescent="0.3">
      <c r="A29" s="46" t="str">
        <f>'CONTRACTOR INPUT'!A29</f>
        <v>POLE</v>
      </c>
      <c r="B29" s="42" t="str">
        <f>'CONTRACTOR INPUT'!B29</f>
        <v>APO00A</v>
      </c>
      <c r="C29" s="42" t="str">
        <f>'CONTRACTOR INPUT'!C29</f>
        <v>EWO ADDER</v>
      </c>
      <c r="D29" s="42" t="str">
        <f>'CONTRACTOR INPUT'!D29</f>
        <v>Place/Remove/Replace/Rearrange Pole</v>
      </c>
      <c r="E29" s="42" t="str">
        <f>'CONTRACTOR INPUT'!E29</f>
        <v>PER POLE</v>
      </c>
      <c r="F29" s="23">
        <f>'CONTRACTOR INPUT'!F29</f>
        <v>0</v>
      </c>
      <c r="G29" s="60">
        <f t="shared" si="2"/>
        <v>0</v>
      </c>
      <c r="I29" s="22">
        <f>'CONTRACTOR INPUT'!H29</f>
        <v>0</v>
      </c>
      <c r="K29" s="3">
        <f t="shared" si="3"/>
        <v>0</v>
      </c>
      <c r="L29" s="76">
        <f t="array" ref="L29">INDEX('INFO-P'!$G$2:$G$500,MATCH(1,($D$4='INFO-P'!$C$2:$C$500)*(B29='INFO-P'!$B$2:$B$500),0))</f>
        <v>64.41</v>
      </c>
      <c r="M29" s="29">
        <f t="shared" si="4"/>
        <v>0</v>
      </c>
    </row>
    <row r="30" spans="1:13" ht="15.75" thickBot="1" x14ac:dyDescent="0.3">
      <c r="A30" s="46" t="str">
        <f>'CONTRACTOR INPUT'!A30</f>
        <v>EP</v>
      </c>
      <c r="B30" s="42" t="str">
        <f>'CONTRACTOR INPUT'!B30</f>
        <v>APO02A</v>
      </c>
      <c r="C30" s="42" t="str">
        <f>'CONTRACTOR INPUT'!C30</f>
        <v>EWO ADDER</v>
      </c>
      <c r="D30" s="42" t="str">
        <f>'CONTRACTOR INPUT'!D30</f>
        <v>Pole Intent Form</v>
      </c>
      <c r="E30" s="42" t="str">
        <f>'CONTRACTOR INPUT'!E30</f>
        <v>PER POLE</v>
      </c>
      <c r="F30" s="23">
        <f>'CONTRACTOR INPUT'!F30</f>
        <v>0</v>
      </c>
      <c r="G30" s="60">
        <f t="shared" si="2"/>
        <v>0</v>
      </c>
      <c r="I30" s="22">
        <f>'CONTRACTOR INPUT'!H30</f>
        <v>0</v>
      </c>
      <c r="K30" s="3">
        <f t="shared" si="3"/>
        <v>0</v>
      </c>
      <c r="L30" s="76">
        <f t="array" ref="L30">INDEX('INFO-P'!$G$2:$G$500,MATCH(1,($D$4='INFO-P'!$C$2:$C$500)*(B30='INFO-P'!$B$2:$B$500),0))</f>
        <v>3.29</v>
      </c>
      <c r="M30" s="29">
        <f t="shared" si="4"/>
        <v>0</v>
      </c>
    </row>
    <row r="31" spans="1:13" ht="15.75" thickBot="1" x14ac:dyDescent="0.3">
      <c r="A31" s="46" t="str">
        <f>'CONTRACTOR INPUT'!A31</f>
        <v>O</v>
      </c>
      <c r="B31" s="42" t="str">
        <f>'CONTRACTOR INPUT'!B31</f>
        <v>ARD00A</v>
      </c>
      <c r="C31" s="42" t="str">
        <f>'CONTRACTOR INPUT'!C31</f>
        <v>EWO ADDER</v>
      </c>
      <c r="D31" s="42" t="str">
        <f>'CONTRACTOR INPUT'!D31</f>
        <v>Issue EWO for Rodding Only</v>
      </c>
      <c r="E31" s="42" t="str">
        <f>'CONTRACTOR INPUT'!E31</f>
        <v>PER LN FT</v>
      </c>
      <c r="F31" s="23">
        <f>'CONTRACTOR INPUT'!F31</f>
        <v>0</v>
      </c>
      <c r="G31" s="60">
        <f t="shared" si="2"/>
        <v>0</v>
      </c>
      <c r="I31" s="22">
        <f>'CONTRACTOR INPUT'!H31</f>
        <v>0</v>
      </c>
      <c r="K31" s="3">
        <f t="shared" si="3"/>
        <v>0</v>
      </c>
      <c r="L31" s="76">
        <f t="array" ref="L31">INDEX('INFO-P'!$G$2:$G$500,MATCH(1,($D$4='INFO-P'!$C$2:$C$500)*(B31='INFO-P'!$B$2:$B$500),0))</f>
        <v>0.11</v>
      </c>
      <c r="M31" s="29">
        <f t="shared" si="4"/>
        <v>0</v>
      </c>
    </row>
    <row r="32" spans="1:13" ht="15.75" thickBot="1" x14ac:dyDescent="0.3">
      <c r="A32" s="46" t="str">
        <f>'CONTRACTOR INPUT'!A32</f>
        <v>CIVIC</v>
      </c>
      <c r="B32" s="42" t="str">
        <f>'CONTRACTOR INPUT'!B32</f>
        <v>ARD02A</v>
      </c>
      <c r="C32" s="42" t="str">
        <f>'CONTRACTOR INPUT'!C32</f>
        <v>EWO ADDER</v>
      </c>
      <c r="D32" s="42" t="str">
        <f>'CONTRACTOR INPUT'!D32</f>
        <v>Issue MH Laydown for cable/duct Details in existing Manhole</v>
      </c>
      <c r="E32" s="42" t="str">
        <f>'CONTRACTOR INPUT'!E32</f>
        <v>PER MH</v>
      </c>
      <c r="F32" s="23">
        <f>'CONTRACTOR INPUT'!F32</f>
        <v>0</v>
      </c>
      <c r="G32" s="60">
        <f t="shared" si="2"/>
        <v>0</v>
      </c>
      <c r="I32" s="22">
        <f>'CONTRACTOR INPUT'!H32</f>
        <v>0</v>
      </c>
      <c r="K32" s="3">
        <f t="shared" si="3"/>
        <v>0</v>
      </c>
      <c r="L32" s="76">
        <f t="array" ref="L32">INDEX('INFO-P'!$G$2:$G$500,MATCH(1,($D$4='INFO-P'!$C$2:$C$500)*(B32='INFO-P'!$B$2:$B$500),0))</f>
        <v>294.57</v>
      </c>
      <c r="M32" s="29">
        <f t="shared" si="4"/>
        <v>0</v>
      </c>
    </row>
    <row r="33" spans="1:13" ht="15.75" thickBot="1" x14ac:dyDescent="0.3">
      <c r="A33" s="46" t="str">
        <f>'CONTRACTOR INPUT'!A33</f>
        <v>EP</v>
      </c>
      <c r="B33" s="42" t="str">
        <f>'CONTRACTOR INPUT'!B33</f>
        <v>ASA00A</v>
      </c>
      <c r="C33" s="42" t="str">
        <f>'CONTRACTOR INPUT'!C33</f>
        <v>EWO ADDER</v>
      </c>
      <c r="D33" s="42" t="str">
        <f>'CONTRACTOR INPUT'!D33</f>
        <v>SAI/PFP – Place/remove new box - All Sizes</v>
      </c>
      <c r="E33" s="42" t="str">
        <f>'CONTRACTOR INPUT'!E33</f>
        <v>BOX</v>
      </c>
      <c r="F33" s="23">
        <f>'CONTRACTOR INPUT'!F33</f>
        <v>0</v>
      </c>
      <c r="G33" s="60">
        <f t="shared" si="2"/>
        <v>0</v>
      </c>
      <c r="I33" s="22">
        <f>'CONTRACTOR INPUT'!H33</f>
        <v>1</v>
      </c>
      <c r="K33" s="3">
        <f t="shared" si="3"/>
        <v>1</v>
      </c>
      <c r="L33" s="76">
        <f t="array" ref="L33">INDEX('INFO-P'!$G$2:$G$500,MATCH(1,($D$4='INFO-P'!$C$2:$C$500)*(B33='INFO-P'!$B$2:$B$500),0))</f>
        <v>263.52</v>
      </c>
      <c r="M33" s="29">
        <f t="shared" si="4"/>
        <v>263.52</v>
      </c>
    </row>
    <row r="34" spans="1:13" ht="15.75" thickBot="1" x14ac:dyDescent="0.3">
      <c r="A34" s="46" t="str">
        <f>'CONTRACTOR INPUT'!A34</f>
        <v>EP</v>
      </c>
      <c r="B34" s="42" t="str">
        <f>'CONTRACTOR INPUT'!B34</f>
        <v>ASA02A</v>
      </c>
      <c r="C34" s="42" t="str">
        <f>'CONTRACTOR INPUT'!C34</f>
        <v>EWO ADDER</v>
      </c>
      <c r="D34" s="42" t="str">
        <f>'CONTRACTOR INPUT'!D34</f>
        <v>SAI/PFP – Retro or Add Blocks/Bracket - All sizes</v>
      </c>
      <c r="E34" s="42" t="str">
        <f>'CONTRACTOR INPUT'!E34</f>
        <v>BOX</v>
      </c>
      <c r="F34" s="23">
        <f>'CONTRACTOR INPUT'!F34</f>
        <v>0</v>
      </c>
      <c r="G34" s="60">
        <f t="shared" si="2"/>
        <v>0</v>
      </c>
      <c r="I34" s="22">
        <f>'CONTRACTOR INPUT'!H34</f>
        <v>0</v>
      </c>
      <c r="K34" s="3">
        <f t="shared" si="3"/>
        <v>0</v>
      </c>
      <c r="L34" s="76">
        <f t="array" ref="L34">INDEX('INFO-P'!$G$2:$G$500,MATCH(1,($D$4='INFO-P'!$C$2:$C$500)*(B34='INFO-P'!$B$2:$B$500),0))</f>
        <v>197.64</v>
      </c>
      <c r="M34" s="29">
        <f t="shared" si="4"/>
        <v>0</v>
      </c>
    </row>
    <row r="35" spans="1:13" ht="15.75" thickBot="1" x14ac:dyDescent="0.3">
      <c r="A35" s="46" t="str">
        <f>'CONTRACTOR INPUT'!A35</f>
        <v>EP</v>
      </c>
      <c r="B35" s="42" t="str">
        <f>'CONTRACTOR INPUT'!B35</f>
        <v>ASA04A</v>
      </c>
      <c r="C35" s="42" t="str">
        <f>'CONTRACTOR INPUT'!C35</f>
        <v>EWO ADDER</v>
      </c>
      <c r="D35" s="42" t="str">
        <f>'CONTRACTOR INPUT'!D35</f>
        <v>PFP - Wall mount</v>
      </c>
      <c r="E35" s="42" t="str">
        <f>'CONTRACTOR INPUT'!E35</f>
        <v>BOX</v>
      </c>
      <c r="F35" s="23">
        <f>'CONTRACTOR INPUT'!F35</f>
        <v>0</v>
      </c>
      <c r="G35" s="60">
        <f t="shared" si="2"/>
        <v>0</v>
      </c>
      <c r="I35" s="22">
        <f>'CONTRACTOR INPUT'!H35</f>
        <v>0</v>
      </c>
      <c r="K35" s="3">
        <f t="shared" si="3"/>
        <v>0</v>
      </c>
      <c r="L35" s="76">
        <f t="array" ref="L35">INDEX('INFO-P'!$G$2:$G$500,MATCH(1,($D$4='INFO-P'!$C$2:$C$500)*(B35='INFO-P'!$B$2:$B$500),0))</f>
        <v>197.64</v>
      </c>
      <c r="M35" s="29">
        <f t="shared" si="4"/>
        <v>0</v>
      </c>
    </row>
    <row r="36" spans="1:13" ht="15.75" thickBot="1" x14ac:dyDescent="0.3">
      <c r="A36" s="46" t="str">
        <f>'CONTRACTOR INPUT'!A36</f>
        <v>EP</v>
      </c>
      <c r="B36" s="42" t="str">
        <f>'CONTRACTOR INPUT'!B36</f>
        <v>ASP00A</v>
      </c>
      <c r="C36" s="42" t="str">
        <f>'CONTRACTOR INPUT'!C36</f>
        <v>EWO ADDER</v>
      </c>
      <c r="D36" s="42" t="str">
        <f>'CONTRACTOR INPUT'!D36</f>
        <v>Energize/cut-dead/Load/Un-load pairs/fibers</v>
      </c>
      <c r="E36" s="42" t="str">
        <f>'CONTRACTOR INPUT'!E36</f>
        <v>PER LOCATION</v>
      </c>
      <c r="F36" s="23">
        <f>'CONTRACTOR INPUT'!F36</f>
        <v>0</v>
      </c>
      <c r="G36" s="60">
        <f t="shared" si="2"/>
        <v>0</v>
      </c>
      <c r="I36" s="22">
        <f>'CONTRACTOR INPUT'!H36</f>
        <v>6</v>
      </c>
      <c r="K36" s="3">
        <f t="shared" si="3"/>
        <v>6</v>
      </c>
      <c r="L36" s="76">
        <f t="array" ref="L36">INDEX('INFO-P'!$G$2:$G$500,MATCH(1,($D$4='INFO-P'!$C$2:$C$500)*(B36='INFO-P'!$B$2:$B$500),0))</f>
        <v>49.41</v>
      </c>
      <c r="M36" s="29">
        <f t="shared" si="4"/>
        <v>296.45999999999998</v>
      </c>
    </row>
    <row r="37" spans="1:13" ht="15.75" thickBot="1" x14ac:dyDescent="0.3">
      <c r="A37" s="46" t="str">
        <f>'CONTRACTOR INPUT'!A37</f>
        <v>JT</v>
      </c>
      <c r="B37" s="42" t="str">
        <f>'CONTRACTOR INPUT'!B37</f>
        <v>ASU00A</v>
      </c>
      <c r="C37" s="42" t="str">
        <f>'CONTRACTOR INPUT'!C37</f>
        <v>EWO ADDER</v>
      </c>
      <c r="D37" s="42" t="str">
        <f>'CONTRACTOR INPUT'!D37</f>
        <v>Subdivision Design</v>
      </c>
      <c r="E37" s="42" t="str">
        <f>'CONTRACTOR INPUT'!E37</f>
        <v>LOTS SERVED</v>
      </c>
      <c r="F37" s="23">
        <f>'CONTRACTOR INPUT'!F37</f>
        <v>0</v>
      </c>
      <c r="G37" s="60">
        <f t="shared" si="2"/>
        <v>0</v>
      </c>
      <c r="I37" s="22">
        <f>'CONTRACTOR INPUT'!H37</f>
        <v>0</v>
      </c>
      <c r="K37" s="3">
        <f t="shared" si="3"/>
        <v>0</v>
      </c>
      <c r="L37" s="76">
        <f t="array" ref="L37">INDEX('INFO-P'!$G$2:$G$500,MATCH(1,($D$4='INFO-P'!$C$2:$C$500)*(B37='INFO-P'!$B$2:$B$500),0))</f>
        <v>23.06</v>
      </c>
      <c r="M37" s="29">
        <f t="shared" si="4"/>
        <v>0</v>
      </c>
    </row>
    <row r="38" spans="1:13" ht="15.75" thickBot="1" x14ac:dyDescent="0.3">
      <c r="A38" s="46" t="str">
        <f>'CONTRACTOR INPUT'!A38</f>
        <v>O</v>
      </c>
      <c r="B38" s="42" t="str">
        <f>'CONTRACTOR INPUT'!B38</f>
        <v>ASU02A</v>
      </c>
      <c r="C38" s="42" t="str">
        <f>'CONTRACTOR INPUT'!C38</f>
        <v>EWO ADDER</v>
      </c>
      <c r="D38" s="42" t="str">
        <f>'CONTRACTOR INPUT'!D38</f>
        <v>MDU Design</v>
      </c>
      <c r="E38" s="42" t="str">
        <f>'CONTRACTOR INPUT'!E38</f>
        <v>PER TERMINAL</v>
      </c>
      <c r="F38" s="23">
        <f>'CONTRACTOR INPUT'!F38</f>
        <v>0</v>
      </c>
      <c r="G38" s="60">
        <f t="shared" si="2"/>
        <v>0</v>
      </c>
      <c r="I38" s="22">
        <f>'CONTRACTOR INPUT'!H38</f>
        <v>0</v>
      </c>
      <c r="K38" s="3">
        <f t="shared" si="3"/>
        <v>0</v>
      </c>
      <c r="L38" s="76">
        <f t="array" ref="L38">INDEX('INFO-P'!$G$2:$G$500,MATCH(1,($D$4='INFO-P'!$C$2:$C$500)*(B38='INFO-P'!$B$2:$B$500),0))</f>
        <v>98.82</v>
      </c>
      <c r="M38" s="29">
        <f t="shared" si="4"/>
        <v>0</v>
      </c>
    </row>
    <row r="39" spans="1:13" ht="15.75" thickBot="1" x14ac:dyDescent="0.3">
      <c r="A39" s="46" t="str">
        <f>'CONTRACTOR INPUT'!A39</f>
        <v>O</v>
      </c>
      <c r="B39" s="42" t="str">
        <f>'CONTRACTOR INPUT'!B39</f>
        <v>ATE00A</v>
      </c>
      <c r="C39" s="42" t="str">
        <f>'CONTRACTOR INPUT'!C39</f>
        <v>EWO ADDER</v>
      </c>
      <c r="D39" s="42" t="str">
        <f>'CONTRACTOR INPUT'!D39</f>
        <v>Terminal transfer - no cable placement</v>
      </c>
      <c r="E39" s="42" t="str">
        <f>'CONTRACTOR INPUT'!E39</f>
        <v>PER 25 PRS/LOC</v>
      </c>
      <c r="F39" s="23">
        <f>'CONTRACTOR INPUT'!F39</f>
        <v>0</v>
      </c>
      <c r="G39" s="60">
        <f t="shared" si="2"/>
        <v>0</v>
      </c>
      <c r="I39" s="22">
        <f>'CONTRACTOR INPUT'!H39</f>
        <v>0</v>
      </c>
      <c r="K39" s="3">
        <f t="shared" si="3"/>
        <v>0</v>
      </c>
      <c r="L39" s="76">
        <f t="array" ref="L39">INDEX('INFO-P'!$G$2:$G$500,MATCH(1,($D$4='INFO-P'!$C$2:$C$500)*(B39='INFO-P'!$B$2:$B$500),0))</f>
        <v>47.12</v>
      </c>
      <c r="M39" s="29">
        <f t="shared" si="4"/>
        <v>0</v>
      </c>
    </row>
    <row r="40" spans="1:13" ht="15.75" thickBot="1" x14ac:dyDescent="0.3">
      <c r="A40" s="46" t="str">
        <f>'CONTRACTOR INPUT'!A40</f>
        <v>EQUIP</v>
      </c>
      <c r="B40" s="42" t="str">
        <f>'CONTRACTOR INPUT'!B40</f>
        <v>ADL00A</v>
      </c>
      <c r="C40" s="42" t="str">
        <f>'CONTRACTOR INPUT'!C40</f>
        <v>EWO ADDER</v>
      </c>
      <c r="D40" s="42" t="str">
        <f>'CONTRACTOR INPUT'!D40</f>
        <v>New DLE/FTTx Cabinet/Cust Prem - NEW cabinet</v>
      </c>
      <c r="E40" s="42" t="str">
        <f>'CONTRACTOR INPUT'!E40</f>
        <v>SITE</v>
      </c>
      <c r="F40" s="23">
        <f>'CONTRACTOR INPUT'!F40</f>
        <v>0</v>
      </c>
      <c r="G40" s="60">
        <f t="shared" si="2"/>
        <v>0</v>
      </c>
      <c r="I40" s="22">
        <f>'CONTRACTOR INPUT'!H40</f>
        <v>0</v>
      </c>
      <c r="K40" s="3">
        <f t="shared" si="3"/>
        <v>0</v>
      </c>
      <c r="L40" s="76">
        <f t="array" ref="L40">INDEX('INFO-P'!$G$2:$G$500,MATCH(1,($D$4='INFO-P'!$C$2:$C$500)*(B40='INFO-P'!$B$2:$B$500),0))</f>
        <v>572.5</v>
      </c>
      <c r="M40" s="29">
        <f t="shared" si="4"/>
        <v>0</v>
      </c>
    </row>
    <row r="41" spans="1:13" ht="15.75" thickBot="1" x14ac:dyDescent="0.3">
      <c r="A41" s="46" t="str">
        <f>'CONTRACTOR INPUT'!A41</f>
        <v>EQUIP</v>
      </c>
      <c r="B41" s="42" t="str">
        <f>'CONTRACTOR INPUT'!B41</f>
        <v>ADL02A</v>
      </c>
      <c r="C41" s="42" t="str">
        <f>'CONTRACTOR INPUT'!C41</f>
        <v>EWO ADDER</v>
      </c>
      <c r="D41" s="42" t="str">
        <f>'CONTRACTOR INPUT'!D41</f>
        <v>Add/Rm Shelf(s) – DLE/FTTx/MUX - Existing site</v>
      </c>
      <c r="E41" s="42" t="str">
        <f>'CONTRACTOR INPUT'!E41</f>
        <v>SITE</v>
      </c>
      <c r="F41" s="23">
        <f>'CONTRACTOR INPUT'!F41</f>
        <v>0</v>
      </c>
      <c r="G41" s="60">
        <f t="shared" si="2"/>
        <v>0</v>
      </c>
      <c r="I41" s="22">
        <f>'CONTRACTOR INPUT'!H41</f>
        <v>0</v>
      </c>
      <c r="K41" s="3">
        <f t="shared" si="3"/>
        <v>0</v>
      </c>
      <c r="L41" s="76">
        <f t="array" ref="L41">INDEX('INFO-P'!$G$2:$G$500,MATCH(1,($D$4='INFO-P'!$C$2:$C$500)*(B41='INFO-P'!$B$2:$B$500),0))</f>
        <v>189.08</v>
      </c>
      <c r="M41" s="29">
        <f t="shared" si="4"/>
        <v>0</v>
      </c>
    </row>
    <row r="42" spans="1:13" ht="15.75" thickBot="1" x14ac:dyDescent="0.3">
      <c r="A42" s="46" t="str">
        <f>'CONTRACTOR INPUT'!A42</f>
        <v>EQUIP</v>
      </c>
      <c r="B42" s="42" t="str">
        <f>'CONTRACTOR INPUT'!B42</f>
        <v>ADL04A</v>
      </c>
      <c r="C42" s="42" t="str">
        <f>'CONTRACTOR INPUT'!C42</f>
        <v>EWO ADDER</v>
      </c>
      <c r="D42" s="42" t="str">
        <f>'CONTRACTOR INPUT'!D42</f>
        <v>Add/RM Minor DLE</v>
      </c>
      <c r="E42" s="42" t="str">
        <f>'CONTRACTOR INPUT'!E42</f>
        <v>SITE</v>
      </c>
      <c r="F42" s="23">
        <f>'CONTRACTOR INPUT'!F42</f>
        <v>0</v>
      </c>
      <c r="G42" s="60">
        <f t="shared" si="2"/>
        <v>0</v>
      </c>
      <c r="I42" s="22">
        <f>'CONTRACTOR INPUT'!H42</f>
        <v>0</v>
      </c>
      <c r="K42" s="3">
        <f t="shared" si="3"/>
        <v>0</v>
      </c>
      <c r="L42" s="76">
        <f t="array" ref="L42">INDEX('INFO-P'!$G$2:$G$500,MATCH(1,($D$4='INFO-P'!$C$2:$C$500)*(B42='INFO-P'!$B$2:$B$500),0))</f>
        <v>112</v>
      </c>
      <c r="M42" s="29">
        <f t="shared" si="4"/>
        <v>0</v>
      </c>
    </row>
    <row r="43" spans="1:13" ht="15.75" thickBot="1" x14ac:dyDescent="0.3">
      <c r="A43" s="46" t="str">
        <f>'CONTRACTOR INPUT'!A43</f>
        <v>EQUIP</v>
      </c>
      <c r="B43" s="42" t="str">
        <f>'CONTRACTOR INPUT'!B43</f>
        <v>ADL06A</v>
      </c>
      <c r="C43" s="42" t="str">
        <f>'CONTRACTOR INPUT'!C43</f>
        <v>EWO ADDER</v>
      </c>
      <c r="D43" s="42" t="str">
        <f>'CONTRACTOR INPUT'!D43</f>
        <v>DLE Battery Replacement</v>
      </c>
      <c r="E43" s="42" t="str">
        <f>'CONTRACTOR INPUT'!E43</f>
        <v>SITE</v>
      </c>
      <c r="F43" s="23">
        <f>'CONTRACTOR INPUT'!F43</f>
        <v>0</v>
      </c>
      <c r="G43" s="60">
        <f t="shared" si="2"/>
        <v>0</v>
      </c>
      <c r="I43" s="22">
        <f>'CONTRACTOR INPUT'!H43</f>
        <v>0</v>
      </c>
      <c r="K43" s="3">
        <f t="shared" si="3"/>
        <v>0</v>
      </c>
      <c r="L43" s="76">
        <f t="array" ref="L43">INDEX('INFO-P'!$G$2:$G$500,MATCH(1,($D$4='INFO-P'!$C$2:$C$500)*(B43='INFO-P'!$B$2:$B$500),0))</f>
        <v>55.21</v>
      </c>
      <c r="M43" s="29">
        <f t="shared" si="4"/>
        <v>0</v>
      </c>
    </row>
    <row r="44" spans="1:13" ht="15.75" thickBot="1" x14ac:dyDescent="0.3">
      <c r="A44" s="46" t="str">
        <f>'CONTRACTOR INPUT'!A44</f>
        <v>EP</v>
      </c>
      <c r="B44" s="42" t="str">
        <f>'CONTRACTOR INPUT'!B44</f>
        <v>ICP00A</v>
      </c>
      <c r="C44" s="42" t="str">
        <f>'CONTRACTOR INPUT'!C44</f>
        <v>I/M/S/P</v>
      </c>
      <c r="D44" s="42" t="str">
        <f>'CONTRACTOR INPUT'!D44</f>
        <v>CPR Package, first building terminal</v>
      </c>
      <c r="E44" s="42" t="str">
        <f>'CONTRACTOR INPUT'!E44</f>
        <v>PER LOCATION</v>
      </c>
      <c r="F44" s="23">
        <f>'CONTRACTOR INPUT'!F44</f>
        <v>0</v>
      </c>
      <c r="G44" s="60">
        <f t="shared" si="2"/>
        <v>0</v>
      </c>
      <c r="I44" s="22">
        <f>'CONTRACTOR INPUT'!H44</f>
        <v>0</v>
      </c>
      <c r="K44" s="3">
        <f t="shared" si="3"/>
        <v>0</v>
      </c>
      <c r="L44" s="76">
        <f t="array" ref="L44">INDEX('INFO-P'!$G$2:$G$500,MATCH(1,($D$4='INFO-P'!$C$2:$C$500)*(B44='INFO-P'!$B$2:$B$500),0))</f>
        <v>226.8</v>
      </c>
      <c r="M44" s="29">
        <f t="shared" si="4"/>
        <v>0</v>
      </c>
    </row>
    <row r="45" spans="1:13" ht="15.75" thickBot="1" x14ac:dyDescent="0.3">
      <c r="A45" s="46" t="str">
        <f>'CONTRACTOR INPUT'!A45</f>
        <v>EP</v>
      </c>
      <c r="B45" s="42" t="str">
        <f>'CONTRACTOR INPUT'!B45</f>
        <v>ICP02A</v>
      </c>
      <c r="C45" s="42" t="str">
        <f>'CONTRACTOR INPUT'!C45</f>
        <v>I/M/S/P</v>
      </c>
      <c r="D45" s="42" t="str">
        <f>'CONTRACTOR INPUT'!D45</f>
        <v>CPR Package, each additional Building Terminal (non co-located)</v>
      </c>
      <c r="E45" s="42" t="str">
        <f>'CONTRACTOR INPUT'!E45</f>
        <v>PER LOCATION</v>
      </c>
      <c r="F45" s="23">
        <f>'CONTRACTOR INPUT'!F45</f>
        <v>0</v>
      </c>
      <c r="G45" s="60">
        <f t="shared" si="2"/>
        <v>0</v>
      </c>
      <c r="I45" s="22">
        <f>'CONTRACTOR INPUT'!H45</f>
        <v>0</v>
      </c>
      <c r="K45" s="3">
        <f t="shared" si="3"/>
        <v>0</v>
      </c>
      <c r="L45" s="76">
        <f t="array" ref="L45">INDEX('INFO-P'!$G$2:$G$500,MATCH(1,($D$4='INFO-P'!$C$2:$C$500)*(B45='INFO-P'!$B$2:$B$500),0))</f>
        <v>54.43</v>
      </c>
      <c r="M45" s="29">
        <f t="shared" si="4"/>
        <v>0</v>
      </c>
    </row>
    <row r="46" spans="1:13" ht="15.75" thickBot="1" x14ac:dyDescent="0.3">
      <c r="A46" s="46" t="str">
        <f>'CONTRACTOR INPUT'!A46</f>
        <v>EP</v>
      </c>
      <c r="B46" s="42" t="str">
        <f>'CONTRACTOR INPUT'!B46</f>
        <v>ICP04A</v>
      </c>
      <c r="C46" s="42" t="str">
        <f>'CONTRACTOR INPUT'!C46</f>
        <v>I/M/S/P</v>
      </c>
      <c r="D46" s="42" t="str">
        <f>'CONTRACTOR INPUT'!D46</f>
        <v>Modify CPR Package or Issue Partial CPR Package Single Building,
any type, First Building Terminal</v>
      </c>
      <c r="E46" s="42" t="str">
        <f>'CONTRACTOR INPUT'!E46</f>
        <v>PER LOCATION</v>
      </c>
      <c r="F46" s="23">
        <f>'CONTRACTOR INPUT'!F46</f>
        <v>0</v>
      </c>
      <c r="G46" s="60">
        <f t="shared" si="2"/>
        <v>0</v>
      </c>
      <c r="I46" s="22">
        <f>'CONTRACTOR INPUT'!H46</f>
        <v>0</v>
      </c>
      <c r="K46" s="3">
        <f t="shared" si="3"/>
        <v>0</v>
      </c>
      <c r="L46" s="76">
        <f t="array" ref="L46">INDEX('INFO-P'!$G$2:$G$500,MATCH(1,($D$4='INFO-P'!$C$2:$C$500)*(B46='INFO-P'!$B$2:$B$500),0))</f>
        <v>68.040000000000006</v>
      </c>
      <c r="M46" s="29">
        <f t="shared" si="4"/>
        <v>0</v>
      </c>
    </row>
    <row r="47" spans="1:13" ht="15.75" thickBot="1" x14ac:dyDescent="0.3">
      <c r="A47" s="46" t="str">
        <f>'CONTRACTOR INPUT'!A47</f>
        <v>O</v>
      </c>
      <c r="B47" s="42" t="str">
        <f>'CONTRACTOR INPUT'!B47</f>
        <v>ICP06A</v>
      </c>
      <c r="C47" s="42" t="str">
        <f>'CONTRACTOR INPUT'!C47</f>
        <v>I/M/S/P</v>
      </c>
      <c r="D47" s="42" t="str">
        <f>'CONTRACTOR INPUT'!D47</f>
        <v>Modify CPR Package or ISSUE Partial CPR Package, any type, Same Site,
Each additional building terminal (non co-located)</v>
      </c>
      <c r="E47" s="42" t="str">
        <f>'CONTRACTOR INPUT'!E47</f>
        <v>PER LOCATION</v>
      </c>
      <c r="F47" s="23">
        <f>'CONTRACTOR INPUT'!F47</f>
        <v>0</v>
      </c>
      <c r="G47" s="60">
        <f t="shared" si="2"/>
        <v>0</v>
      </c>
      <c r="I47" s="22">
        <f>'CONTRACTOR INPUT'!H47</f>
        <v>0</v>
      </c>
      <c r="K47" s="3">
        <f t="shared" si="3"/>
        <v>0</v>
      </c>
      <c r="L47" s="76">
        <f t="array" ref="L47">INDEX('INFO-P'!$G$2:$G$500,MATCH(1,($D$4='INFO-P'!$C$2:$C$500)*(B47='INFO-P'!$B$2:$B$500),0))</f>
        <v>20.41</v>
      </c>
      <c r="M47" s="29">
        <f t="shared" si="4"/>
        <v>0</v>
      </c>
    </row>
    <row r="48" spans="1:13" ht="15.75" thickBot="1" x14ac:dyDescent="0.3">
      <c r="A48" s="46" t="str">
        <f>'CONTRACTOR INPUT'!A48</f>
        <v>EP</v>
      </c>
      <c r="B48" s="42" t="str">
        <f>'CONTRACTOR INPUT'!B48</f>
        <v>ICP08A</v>
      </c>
      <c r="C48" s="42" t="str">
        <f>'CONTRACTOR INPUT'!C48</f>
        <v>I/M/S/P</v>
      </c>
      <c r="D48" s="42" t="str">
        <f>'CONTRACTOR INPUT'!D48</f>
        <v>LGE Site Visit (no contact or denied access)</v>
      </c>
      <c r="E48" s="42" t="str">
        <f>'CONTRACTOR INPUT'!E48</f>
        <v>EACH</v>
      </c>
      <c r="F48" s="23">
        <f>'CONTRACTOR INPUT'!F48</f>
        <v>0</v>
      </c>
      <c r="G48" s="60">
        <f t="shared" si="2"/>
        <v>0</v>
      </c>
      <c r="I48" s="22">
        <f>'CONTRACTOR INPUT'!H48</f>
        <v>0</v>
      </c>
      <c r="K48" s="3">
        <f t="shared" si="3"/>
        <v>0</v>
      </c>
      <c r="L48" s="76">
        <f t="array" ref="L48">INDEX('INFO-P'!$G$2:$G$500,MATCH(1,($D$4='INFO-P'!$C$2:$C$500)*(B48='INFO-P'!$B$2:$B$500),0))</f>
        <v>54.43</v>
      </c>
      <c r="M48" s="29">
        <f t="shared" si="4"/>
        <v>0</v>
      </c>
    </row>
    <row r="49" spans="1:13" ht="15.75" thickBot="1" x14ac:dyDescent="0.3">
      <c r="A49" s="46" t="str">
        <f>'CONTRACTOR INPUT'!A49</f>
        <v>EP</v>
      </c>
      <c r="B49" s="42" t="str">
        <f>'CONTRACTOR INPUT'!B49</f>
        <v>ICP10A</v>
      </c>
      <c r="C49" s="42" t="str">
        <f>'CONTRACTOR INPUT'!C49</f>
        <v>I/M/S/P</v>
      </c>
      <c r="D49" s="42" t="str">
        <f>'CONTRACTOR INPUT'!D49</f>
        <v>Virtual Site Visit - CPR Package, first building terminal.</v>
      </c>
      <c r="E49" s="42" t="str">
        <f>'CONTRACTOR INPUT'!E49</f>
        <v>PER LOCATION</v>
      </c>
      <c r="F49" s="23">
        <f>'CONTRACTOR INPUT'!F49</f>
        <v>0</v>
      </c>
      <c r="G49" s="60">
        <f t="shared" si="2"/>
        <v>0</v>
      </c>
      <c r="I49" s="22">
        <f>'CONTRACTOR INPUT'!H49</f>
        <v>0</v>
      </c>
      <c r="K49" s="3">
        <f t="shared" si="3"/>
        <v>0</v>
      </c>
      <c r="L49" s="76">
        <f t="array" ref="L49">INDEX('INFO-P'!$G$2:$G$500,MATCH(1,($D$4='INFO-P'!$C$2:$C$500)*(B49='INFO-P'!$B$2:$B$500),0))</f>
        <v>158.76</v>
      </c>
      <c r="M49" s="29">
        <f t="shared" si="4"/>
        <v>0</v>
      </c>
    </row>
    <row r="50" spans="1:13" ht="15.75" thickBot="1" x14ac:dyDescent="0.3">
      <c r="A50" s="46" t="str">
        <f>'CONTRACTOR INPUT'!A50</f>
        <v>EP</v>
      </c>
      <c r="B50" s="42" t="str">
        <f>'CONTRACTOR INPUT'!B50</f>
        <v>ICP12A</v>
      </c>
      <c r="C50" s="42" t="str">
        <f>'CONTRACTOR INPUT'!C50</f>
        <v>I/M/S/P</v>
      </c>
      <c r="D50" s="42" t="str">
        <f>'CONTRACTOR INPUT'!D50</f>
        <v>Virtual Site Visit - each additional building terminal (non co-lo)</v>
      </c>
      <c r="E50" s="42" t="str">
        <f>'CONTRACTOR INPUT'!E50</f>
        <v>PER LOCATION</v>
      </c>
      <c r="F50" s="23">
        <f>'CONTRACTOR INPUT'!F50</f>
        <v>0</v>
      </c>
      <c r="G50" s="60">
        <f t="shared" si="2"/>
        <v>0</v>
      </c>
      <c r="I50" s="22">
        <f>'CONTRACTOR INPUT'!H50</f>
        <v>0</v>
      </c>
      <c r="K50" s="3">
        <f t="shared" si="3"/>
        <v>0</v>
      </c>
      <c r="L50" s="76">
        <f t="array" ref="L50">INDEX('INFO-P'!$G$2:$G$500,MATCH(1,($D$4='INFO-P'!$C$2:$C$500)*(B50='INFO-P'!$B$2:$B$500),0))</f>
        <v>22.68</v>
      </c>
      <c r="M50" s="29">
        <f t="shared" si="4"/>
        <v>0</v>
      </c>
    </row>
    <row r="51" spans="1:13" ht="15.75" thickBot="1" x14ac:dyDescent="0.3">
      <c r="A51" s="46" t="str">
        <f>'CONTRACTOR INPUT'!A51</f>
        <v>O</v>
      </c>
      <c r="B51" s="42" t="str">
        <f>'CONTRACTOR INPUT'!B51</f>
        <v>IFI00A</v>
      </c>
      <c r="C51" s="42" t="str">
        <f>'CONTRACTOR INPUT'!C51</f>
        <v>I/M/S/P</v>
      </c>
      <c r="D51" s="42" t="str">
        <f>'CONTRACTOR INPUT'!D51</f>
        <v>Fielding Only - Startup</v>
      </c>
      <c r="E51" s="42" t="str">
        <f>'CONTRACTOR INPUT'!E51</f>
        <v>PER REQUEST</v>
      </c>
      <c r="F51" s="23">
        <f>'CONTRACTOR INPUT'!F51</f>
        <v>0</v>
      </c>
      <c r="G51" s="60">
        <f t="shared" si="2"/>
        <v>0</v>
      </c>
      <c r="I51" s="22">
        <f>'CONTRACTOR INPUT'!H51</f>
        <v>0</v>
      </c>
      <c r="K51" s="3">
        <f t="shared" si="3"/>
        <v>0</v>
      </c>
      <c r="L51" s="76">
        <f t="array" ref="L51">INDEX('INFO-P'!$G$2:$G$500,MATCH(1,($D$4='INFO-P'!$C$2:$C$500)*(B51='INFO-P'!$B$2:$B$500),0))</f>
        <v>97.2</v>
      </c>
      <c r="M51" s="29">
        <f t="shared" si="4"/>
        <v>0</v>
      </c>
    </row>
    <row r="52" spans="1:13" ht="15.75" thickBot="1" x14ac:dyDescent="0.3">
      <c r="A52" s="46" t="str">
        <f>'CONTRACTOR INPUT'!A52</f>
        <v>O</v>
      </c>
      <c r="B52" s="42" t="str">
        <f>'CONTRACTOR INPUT'!B52</f>
        <v>IFI02A</v>
      </c>
      <c r="C52" s="42" t="str">
        <f>'CONTRACTOR INPUT'!C52</f>
        <v>I/M/S/P</v>
      </c>
      <c r="D52" s="42" t="str">
        <f>'CONTRACTOR INPUT'!D52</f>
        <v>Fielding Only - Footage adder</v>
      </c>
      <c r="E52" s="42" t="str">
        <f>'CONTRACTOR INPUT'!E52</f>
        <v>PER LINEAR FT</v>
      </c>
      <c r="F52" s="23">
        <f>'CONTRACTOR INPUT'!F52</f>
        <v>0</v>
      </c>
      <c r="G52" s="60">
        <f t="shared" si="2"/>
        <v>0</v>
      </c>
      <c r="I52" s="22">
        <f>'CONTRACTOR INPUT'!H52</f>
        <v>0</v>
      </c>
      <c r="K52" s="3">
        <f t="shared" si="3"/>
        <v>0</v>
      </c>
      <c r="L52" s="76">
        <f t="array" ref="L52">INDEX('INFO-P'!$G$2:$G$500,MATCH(1,($D$4='INFO-P'!$C$2:$C$500)*(B52='INFO-P'!$B$2:$B$500),0))</f>
        <v>0.1</v>
      </c>
      <c r="M52" s="29">
        <f t="shared" si="4"/>
        <v>0</v>
      </c>
    </row>
    <row r="53" spans="1:13" ht="15.75" thickBot="1" x14ac:dyDescent="0.3">
      <c r="A53" s="46" t="str">
        <f>'CONTRACTOR INPUT'!A53</f>
        <v>O</v>
      </c>
      <c r="B53" s="42" t="str">
        <f>'CONTRACTOR INPUT'!B53</f>
        <v>IFI04A</v>
      </c>
      <c r="C53" s="42" t="str">
        <f>'CONTRACTOR INPUT'!C53</f>
        <v>I/M/S/P</v>
      </c>
      <c r="D53" s="42" t="str">
        <f>'CONTRACTOR INPUT'!D53</f>
        <v>Fielding Only – Location adder (simple)</v>
      </c>
      <c r="E53" s="42" t="str">
        <f>'CONTRACTOR INPUT'!E53</f>
        <v>PER LOCATION</v>
      </c>
      <c r="F53" s="23">
        <f>'CONTRACTOR INPUT'!F53</f>
        <v>0</v>
      </c>
      <c r="G53" s="60">
        <f t="shared" si="2"/>
        <v>0</v>
      </c>
      <c r="I53" s="22">
        <f>'CONTRACTOR INPUT'!H53</f>
        <v>0</v>
      </c>
      <c r="K53" s="3">
        <f t="shared" si="3"/>
        <v>0</v>
      </c>
      <c r="L53" s="76">
        <f t="array" ref="L53">INDEX('INFO-P'!$G$2:$G$500,MATCH(1,($D$4='INFO-P'!$C$2:$C$500)*(B53='INFO-P'!$B$2:$B$500),0))</f>
        <v>27.22</v>
      </c>
      <c r="M53" s="29">
        <f t="shared" si="4"/>
        <v>0</v>
      </c>
    </row>
    <row r="54" spans="1:13" ht="15.75" thickBot="1" x14ac:dyDescent="0.3">
      <c r="A54" s="46" t="str">
        <f>'CONTRACTOR INPUT'!A54</f>
        <v>O</v>
      </c>
      <c r="B54" s="42" t="str">
        <f>'CONTRACTOR INPUT'!B54</f>
        <v>IFI06A</v>
      </c>
      <c r="C54" s="42" t="str">
        <f>'CONTRACTOR INPUT'!C54</f>
        <v>I/M/S/P</v>
      </c>
      <c r="D54" s="42" t="str">
        <f>'CONTRACTOR INPUT'!D54</f>
        <v>Fielding Only – Location adder (complex)</v>
      </c>
      <c r="E54" s="42" t="str">
        <f>'CONTRACTOR INPUT'!E54</f>
        <v>PER LOCATION</v>
      </c>
      <c r="F54" s="23">
        <f>'CONTRACTOR INPUT'!F54</f>
        <v>0</v>
      </c>
      <c r="G54" s="60">
        <f t="shared" si="2"/>
        <v>0</v>
      </c>
      <c r="I54" s="22">
        <f>'CONTRACTOR INPUT'!H54</f>
        <v>0</v>
      </c>
      <c r="K54" s="3">
        <f t="shared" si="3"/>
        <v>0</v>
      </c>
      <c r="L54" s="76">
        <f t="array" ref="L54">INDEX('INFO-P'!$G$2:$G$500,MATCH(1,($D$4='INFO-P'!$C$2:$C$500)*(B54='INFO-P'!$B$2:$B$500),0))</f>
        <v>87.48</v>
      </c>
      <c r="M54" s="29">
        <f t="shared" si="4"/>
        <v>0</v>
      </c>
    </row>
    <row r="55" spans="1:13" ht="15.75" thickBot="1" x14ac:dyDescent="0.3">
      <c r="A55" s="46" t="str">
        <f>'CONTRACTOR INPUT'!A55</f>
        <v>O</v>
      </c>
      <c r="B55" s="42" t="str">
        <f>'CONTRACTOR INPUT'!B55</f>
        <v>IFI08A</v>
      </c>
      <c r="C55" s="42" t="str">
        <f>'CONTRACTOR INPUT'!C55</f>
        <v>I/M/S/P</v>
      </c>
      <c r="D55" s="42" t="str">
        <f>'CONTRACTOR INPUT'!D55</f>
        <v>Fielding with CAD - Startup - Fielding in CAD with regional design tool.</v>
      </c>
      <c r="E55" s="42" t="str">
        <f>'CONTRACTOR INPUT'!E55</f>
        <v>PER REQUEST</v>
      </c>
      <c r="F55" s="23">
        <f>'CONTRACTOR INPUT'!F55</f>
        <v>0</v>
      </c>
      <c r="G55" s="60">
        <f t="shared" si="2"/>
        <v>0</v>
      </c>
      <c r="I55" s="22">
        <f>'CONTRACTOR INPUT'!H55</f>
        <v>0</v>
      </c>
      <c r="K55" s="3">
        <f t="shared" si="3"/>
        <v>0</v>
      </c>
      <c r="L55" s="76">
        <f t="array" ref="L55">INDEX('INFO-P'!$G$2:$G$500,MATCH(1,($D$4='INFO-P'!$C$2:$C$500)*(B55='INFO-P'!$B$2:$B$500),0))</f>
        <v>129.6</v>
      </c>
      <c r="M55" s="29">
        <f t="shared" si="4"/>
        <v>0</v>
      </c>
    </row>
    <row r="56" spans="1:13" ht="15.75" thickBot="1" x14ac:dyDescent="0.3">
      <c r="A56" s="46" t="str">
        <f>'CONTRACTOR INPUT'!A56</f>
        <v>O</v>
      </c>
      <c r="B56" s="42" t="str">
        <f>'CONTRACTOR INPUT'!B56</f>
        <v>IFI10A</v>
      </c>
      <c r="C56" s="42" t="str">
        <f>'CONTRACTOR INPUT'!C56</f>
        <v>I/M/S/P</v>
      </c>
      <c r="D56" s="42" t="str">
        <f>'CONTRACTOR INPUT'!D56</f>
        <v>Fielding with CAD Only - Footage adder</v>
      </c>
      <c r="E56" s="42" t="str">
        <f>'CONTRACTOR INPUT'!E56</f>
        <v>PER LINEAR FT</v>
      </c>
      <c r="F56" s="23">
        <f>'CONTRACTOR INPUT'!F56</f>
        <v>0</v>
      </c>
      <c r="G56" s="60">
        <f t="shared" si="2"/>
        <v>0</v>
      </c>
      <c r="I56" s="22">
        <f>'CONTRACTOR INPUT'!H56</f>
        <v>0</v>
      </c>
      <c r="K56" s="3">
        <f t="shared" si="3"/>
        <v>0</v>
      </c>
      <c r="L56" s="76">
        <f t="array" ref="L56">INDEX('INFO-P'!$G$2:$G$500,MATCH(1,($D$4='INFO-P'!$C$2:$C$500)*(B56='INFO-P'!$B$2:$B$500),0))</f>
        <v>0.16</v>
      </c>
      <c r="M56" s="29">
        <f t="shared" si="4"/>
        <v>0</v>
      </c>
    </row>
    <row r="57" spans="1:13" ht="15.75" thickBot="1" x14ac:dyDescent="0.3">
      <c r="A57" s="46" t="str">
        <f>'CONTRACTOR INPUT'!A57</f>
        <v>O</v>
      </c>
      <c r="B57" s="42" t="str">
        <f>'CONTRACTOR INPUT'!B57</f>
        <v>IFI12A</v>
      </c>
      <c r="C57" s="42" t="str">
        <f>'CONTRACTOR INPUT'!C57</f>
        <v>I/M/S/P</v>
      </c>
      <c r="D57" s="42" t="str">
        <f>'CONTRACTOR INPUT'!D57</f>
        <v>Fielding CAD Only - Location adder (simple)</v>
      </c>
      <c r="E57" s="42" t="str">
        <f>'CONTRACTOR INPUT'!E57</f>
        <v>PER LOCATION</v>
      </c>
      <c r="F57" s="23">
        <f>'CONTRACTOR INPUT'!F57</f>
        <v>0</v>
      </c>
      <c r="G57" s="60">
        <f t="shared" si="2"/>
        <v>0</v>
      </c>
      <c r="I57" s="22">
        <f>'CONTRACTOR INPUT'!H57</f>
        <v>0</v>
      </c>
      <c r="K57" s="3">
        <f t="shared" si="3"/>
        <v>0</v>
      </c>
      <c r="L57" s="76">
        <f t="array" ref="L57">INDEX('INFO-P'!$G$2:$G$500,MATCH(1,($D$4='INFO-P'!$C$2:$C$500)*(B57='INFO-P'!$B$2:$B$500),0))</f>
        <v>35.64</v>
      </c>
      <c r="M57" s="29">
        <f t="shared" si="4"/>
        <v>0</v>
      </c>
    </row>
    <row r="58" spans="1:13" ht="15.75" thickBot="1" x14ac:dyDescent="0.3">
      <c r="A58" s="46" t="str">
        <f>'CONTRACTOR INPUT'!A58</f>
        <v>O</v>
      </c>
      <c r="B58" s="42" t="str">
        <f>'CONTRACTOR INPUT'!B58</f>
        <v>IFI14A</v>
      </c>
      <c r="C58" s="42" t="str">
        <f>'CONTRACTOR INPUT'!C58</f>
        <v>I/M/S/P</v>
      </c>
      <c r="D58" s="42" t="str">
        <f>'CONTRACTOR INPUT'!D58</f>
        <v>Fielding CAD Only - Location adder (complex)</v>
      </c>
      <c r="E58" s="42" t="str">
        <f>'CONTRACTOR INPUT'!E58</f>
        <v>PER LOCATION</v>
      </c>
      <c r="F58" s="23">
        <f>'CONTRACTOR INPUT'!F58</f>
        <v>0</v>
      </c>
      <c r="G58" s="60">
        <f t="shared" si="2"/>
        <v>0</v>
      </c>
      <c r="I58" s="22">
        <f>'CONTRACTOR INPUT'!H58</f>
        <v>0</v>
      </c>
      <c r="K58" s="3">
        <f t="shared" si="3"/>
        <v>0</v>
      </c>
      <c r="L58" s="76">
        <f t="array" ref="L58">INDEX('INFO-P'!$G$2:$G$500,MATCH(1,($D$4='INFO-P'!$C$2:$C$500)*(B58='INFO-P'!$B$2:$B$500),0))</f>
        <v>115.99</v>
      </c>
      <c r="M58" s="29">
        <f t="shared" si="4"/>
        <v>0</v>
      </c>
    </row>
    <row r="59" spans="1:13" ht="15.75" thickBot="1" x14ac:dyDescent="0.3">
      <c r="A59" s="46" t="str">
        <f>'CONTRACTOR INPUT'!A59</f>
        <v>O</v>
      </c>
      <c r="B59" s="42" t="str">
        <f>'CONTRACTOR INPUT'!B59</f>
        <v>IFI16A</v>
      </c>
      <c r="C59" s="42" t="str">
        <f>'CONTRACTOR INPUT'!C59</f>
        <v>I/M/S/P</v>
      </c>
      <c r="D59" s="42" t="str">
        <f>'CONTRACTOR INPUT'!D59</f>
        <v>Fielding Only – IQ</v>
      </c>
      <c r="E59" s="42" t="str">
        <f>'CONTRACTOR INPUT'!E59</f>
        <v>LU/BCL</v>
      </c>
      <c r="F59" s="23">
        <f>'CONTRACTOR INPUT'!F59</f>
        <v>0</v>
      </c>
      <c r="G59" s="60">
        <f t="shared" si="2"/>
        <v>0</v>
      </c>
      <c r="I59" s="22">
        <f>'CONTRACTOR INPUT'!H59</f>
        <v>0</v>
      </c>
      <c r="K59" s="3">
        <f t="shared" si="3"/>
        <v>0</v>
      </c>
      <c r="L59" s="76">
        <f t="array" ref="L59">INDEX('INFO-P'!$G$2:$G$500,MATCH(1,($D$4='INFO-P'!$C$2:$C$500)*(B59='INFO-P'!$B$2:$B$500),0))</f>
        <v>11.61</v>
      </c>
      <c r="M59" s="29">
        <f t="shared" si="4"/>
        <v>0</v>
      </c>
    </row>
    <row r="60" spans="1:13" ht="15.75" thickBot="1" x14ac:dyDescent="0.3">
      <c r="A60" s="46" t="str">
        <f>'CONTRACTOR INPUT'!A60</f>
        <v>O</v>
      </c>
      <c r="B60" s="42" t="str">
        <f>'CONTRACTOR INPUT'!B60</f>
        <v>IIN00A</v>
      </c>
      <c r="C60" s="42" t="str">
        <f>'CONTRACTOR INPUT'!C60</f>
        <v>I/M/S/P</v>
      </c>
      <c r="D60" s="42" t="str">
        <f>'CONTRACTOR INPUT'!D60</f>
        <v>FIELD INSPECTIONS</v>
      </c>
      <c r="E60" s="42" t="str">
        <f>'CONTRACTOR INPUT'!E60</f>
        <v>LOCATION</v>
      </c>
      <c r="F60" s="23">
        <f>'CONTRACTOR INPUT'!F60</f>
        <v>0</v>
      </c>
      <c r="G60" s="60">
        <f t="shared" si="2"/>
        <v>0</v>
      </c>
      <c r="I60" s="22">
        <f>'CONTRACTOR INPUT'!H60</f>
        <v>0</v>
      </c>
      <c r="K60" s="3">
        <f t="shared" si="3"/>
        <v>0</v>
      </c>
      <c r="L60" s="76">
        <f t="array" ref="L60">INDEX('INFO-P'!$G$2:$G$500,MATCH(1,($D$4='INFO-P'!$C$2:$C$500)*(B60='INFO-P'!$B$2:$B$500),0))</f>
        <v>97.2</v>
      </c>
      <c r="M60" s="29">
        <f t="shared" si="4"/>
        <v>0</v>
      </c>
    </row>
    <row r="61" spans="1:13" ht="15.75" thickBot="1" x14ac:dyDescent="0.3">
      <c r="A61" s="46" t="str">
        <f>'CONTRACTOR INPUT'!A61</f>
        <v>O</v>
      </c>
      <c r="B61" s="42" t="str">
        <f>'CONTRACTOR INPUT'!B61</f>
        <v>IIN02A</v>
      </c>
      <c r="C61" s="42" t="str">
        <f>'CONTRACTOR INPUT'!C61</f>
        <v>I/M/S/P</v>
      </c>
      <c r="D61" s="42" t="str">
        <f>'CONTRACTOR INPUT'!D61</f>
        <v>INSPECTIONS/FIELD MEETINGS - FIELD MEETING</v>
      </c>
      <c r="E61" s="42" t="str">
        <f>'CONTRACTOR INPUT'!E61</f>
        <v>MEETING</v>
      </c>
      <c r="F61" s="23">
        <f>'CONTRACTOR INPUT'!F61</f>
        <v>0</v>
      </c>
      <c r="G61" s="60">
        <f t="shared" si="2"/>
        <v>0</v>
      </c>
      <c r="I61" s="22">
        <f>'CONTRACTOR INPUT'!H61</f>
        <v>0</v>
      </c>
      <c r="K61" s="3">
        <f t="shared" si="3"/>
        <v>0</v>
      </c>
      <c r="L61" s="76">
        <f t="array" ref="L61">INDEX('INFO-P'!$G$2:$G$500,MATCH(1,($D$4='INFO-P'!$C$2:$C$500)*(B61='INFO-P'!$B$2:$B$500),0))</f>
        <v>113.4</v>
      </c>
      <c r="M61" s="29">
        <f t="shared" si="4"/>
        <v>0</v>
      </c>
    </row>
    <row r="62" spans="1:13" ht="15.75" thickBot="1" x14ac:dyDescent="0.3">
      <c r="A62" s="46" t="str">
        <f>'CONTRACTOR INPUT'!A62</f>
        <v>O</v>
      </c>
      <c r="B62" s="42" t="str">
        <f>'CONTRACTOR INPUT'!B62</f>
        <v>IIN04A</v>
      </c>
      <c r="C62" s="42" t="str">
        <f>'CONTRACTOR INPUT'!C62</f>
        <v>I/M/S/P</v>
      </c>
      <c r="D62" s="42" t="str">
        <f>'CONTRACTOR INPUT'!D62</f>
        <v>PROVIDE GPS COORDINATES PER SPECIFIED FACILITY</v>
      </c>
      <c r="E62" s="42" t="str">
        <f>'CONTRACTOR INPUT'!E62</f>
        <v>LOCATION</v>
      </c>
      <c r="F62" s="23">
        <f>'CONTRACTOR INPUT'!F62</f>
        <v>0</v>
      </c>
      <c r="G62" s="60">
        <f t="shared" si="2"/>
        <v>0</v>
      </c>
      <c r="I62" s="22">
        <f>'CONTRACTOR INPUT'!H62</f>
        <v>0</v>
      </c>
      <c r="K62" s="3">
        <f t="shared" si="3"/>
        <v>0</v>
      </c>
      <c r="L62" s="76">
        <f t="array" ref="L62">INDEX('INFO-P'!$G$2:$G$500,MATCH(1,($D$4='INFO-P'!$C$2:$C$500)*(B62='INFO-P'!$B$2:$B$500),0))</f>
        <v>14.26</v>
      </c>
      <c r="M62" s="29">
        <f t="shared" si="4"/>
        <v>0</v>
      </c>
    </row>
    <row r="63" spans="1:13" ht="15.75" thickBot="1" x14ac:dyDescent="0.3">
      <c r="A63" s="46" t="str">
        <f>'CONTRACTOR INPUT'!A63</f>
        <v>POLE</v>
      </c>
      <c r="B63" s="42" t="str">
        <f>'CONTRACTOR INPUT'!B63</f>
        <v>IIN06A</v>
      </c>
      <c r="C63" s="42" t="str">
        <f>'CONTRACTOR INPUT'!C63</f>
        <v>I/M/S/P</v>
      </c>
      <c r="D63" s="42" t="str">
        <f>'CONTRACTOR INPUT'!D63</f>
        <v>POLE TESTING</v>
      </c>
      <c r="E63" s="42" t="str">
        <f>'CONTRACTOR INPUT'!E63</f>
        <v>LOCATION</v>
      </c>
      <c r="F63" s="23">
        <f>'CONTRACTOR INPUT'!F63</f>
        <v>0</v>
      </c>
      <c r="G63" s="60">
        <f t="shared" si="2"/>
        <v>0</v>
      </c>
      <c r="I63" s="22">
        <f>'CONTRACTOR INPUT'!H63</f>
        <v>0</v>
      </c>
      <c r="K63" s="3">
        <f t="shared" si="3"/>
        <v>0</v>
      </c>
      <c r="L63" s="76">
        <f t="array" ref="L63">INDEX('INFO-P'!$G$2:$G$500,MATCH(1,($D$4='INFO-P'!$C$2:$C$500)*(B63='INFO-P'!$B$2:$B$500),0))</f>
        <v>18.14</v>
      </c>
      <c r="M63" s="29">
        <f t="shared" si="4"/>
        <v>0</v>
      </c>
    </row>
    <row r="64" spans="1:13" ht="15.75" thickBot="1" x14ac:dyDescent="0.3">
      <c r="A64" s="46" t="str">
        <f>'CONTRACTOR INPUT'!A64</f>
        <v>CIVIC</v>
      </c>
      <c r="B64" s="42" t="str">
        <f>'CONTRACTOR INPUT'!B64</f>
        <v>IIN08A</v>
      </c>
      <c r="C64" s="42" t="str">
        <f>'CONTRACTOR INPUT'!C64</f>
        <v>I/M/S/P</v>
      </c>
      <c r="D64" s="42" t="str">
        <f>'CONTRACTOR INPUT'!D64</f>
        <v>Issue MH Laydown for cable/duct Details in existing Manhole</v>
      </c>
      <c r="E64" s="42" t="str">
        <f>'CONTRACTOR INPUT'!E64</f>
        <v>PER MH</v>
      </c>
      <c r="F64" s="23">
        <f>'CONTRACTOR INPUT'!F64</f>
        <v>0</v>
      </c>
      <c r="G64" s="60">
        <f t="shared" si="2"/>
        <v>0</v>
      </c>
      <c r="I64" s="22">
        <f>'CONTRACTOR INPUT'!H64</f>
        <v>0</v>
      </c>
      <c r="K64" s="3">
        <f t="shared" si="3"/>
        <v>0</v>
      </c>
      <c r="L64" s="76">
        <f t="array" ref="L64">INDEX('INFO-P'!$G$2:$G$500,MATCH(1,($D$4='INFO-P'!$C$2:$C$500)*(B64='INFO-P'!$B$2:$B$500),0))</f>
        <v>291.60000000000002</v>
      </c>
      <c r="M64" s="29">
        <f t="shared" si="4"/>
        <v>0</v>
      </c>
    </row>
    <row r="65" spans="1:13" ht="15.75" thickBot="1" x14ac:dyDescent="0.3">
      <c r="A65" s="46" t="str">
        <f>'CONTRACTOR INPUT'!A65</f>
        <v>O</v>
      </c>
      <c r="B65" s="42" t="str">
        <f>'CONTRACTOR INPUT'!B65</f>
        <v>IIN10A</v>
      </c>
      <c r="C65" s="42" t="str">
        <f>'CONTRACTOR INPUT'!C65</f>
        <v>I/M/S/P</v>
      </c>
      <c r="D65" s="42" t="str">
        <f>'CONTRACTOR INPUT'!D65</f>
        <v>Pole intrusive inspections</v>
      </c>
      <c r="E65" s="42" t="str">
        <f>'CONTRACTOR INPUT'!E65</f>
        <v>PER POLE</v>
      </c>
      <c r="F65" s="23">
        <f>'CONTRACTOR INPUT'!F65</f>
        <v>0</v>
      </c>
      <c r="G65" s="60" t="str">
        <f t="shared" si="2"/>
        <v/>
      </c>
      <c r="I65" s="22">
        <f>'CONTRACTOR INPUT'!H65</f>
        <v>0</v>
      </c>
      <c r="K65" s="3">
        <f t="shared" si="3"/>
        <v>0</v>
      </c>
      <c r="L65" s="76" t="str">
        <f t="array" ref="L65">INDEX('INFO-P'!$G$2:$G$500,MATCH(1,($D$4='INFO-P'!$C$2:$C$500)*(B65='INFO-P'!$B$2:$B$500),0))</f>
        <v>Not Priced At This Time.</v>
      </c>
      <c r="M65" s="29" t="str">
        <f t="shared" si="4"/>
        <v/>
      </c>
    </row>
    <row r="66" spans="1:13" ht="15.75" thickBot="1" x14ac:dyDescent="0.3">
      <c r="A66" s="46" t="str">
        <f>'CONTRACTOR INPUT'!A66</f>
        <v>O</v>
      </c>
      <c r="B66" s="42" t="str">
        <f>'CONTRACTOR INPUT'!B66</f>
        <v>IIN12A</v>
      </c>
      <c r="C66" s="42" t="str">
        <f>'CONTRACTOR INPUT'!C66</f>
        <v>I/M/S/P</v>
      </c>
      <c r="D66" s="42" t="str">
        <f>'CONTRACTOR INPUT'!D66</f>
        <v>Aerial Cable Inspection</v>
      </c>
      <c r="E66" s="42" t="str">
        <f>'CONTRACTOR INPUT'!E66</f>
        <v>PER SPAN</v>
      </c>
      <c r="F66" s="23">
        <f>'CONTRACTOR INPUT'!F66</f>
        <v>0</v>
      </c>
      <c r="G66" s="60" t="str">
        <f t="shared" si="2"/>
        <v/>
      </c>
      <c r="I66" s="22">
        <f>'CONTRACTOR INPUT'!H66</f>
        <v>0</v>
      </c>
      <c r="K66" s="3">
        <f t="shared" si="3"/>
        <v>0</v>
      </c>
      <c r="L66" s="76" t="str">
        <f t="array" ref="L66">INDEX('INFO-P'!$G$2:$G$500,MATCH(1,($D$4='INFO-P'!$C$2:$C$500)*(B66='INFO-P'!$B$2:$B$500),0))</f>
        <v>Not Priced At This Time.</v>
      </c>
      <c r="M66" s="29" t="str">
        <f t="shared" si="4"/>
        <v/>
      </c>
    </row>
    <row r="67" spans="1:13" ht="15.75" thickBot="1" x14ac:dyDescent="0.3">
      <c r="A67" s="46" t="str">
        <f>'CONTRACTOR INPUT'!A67</f>
        <v>EP</v>
      </c>
      <c r="B67" s="42" t="str">
        <f>'CONTRACTOR INPUT'!B67</f>
        <v>IPO00A</v>
      </c>
      <c r="C67" s="42" t="str">
        <f>'CONTRACTOR INPUT'!C67</f>
        <v>I/M/S/P</v>
      </c>
      <c r="D67" s="42" t="str">
        <f>'CONTRACTOR INPUT'!D67</f>
        <v>OCalc Fielding Standalone - No EWO</v>
      </c>
      <c r="E67" s="42" t="str">
        <f>'CONTRACTOR INPUT'!E67</f>
        <v>PER POLE</v>
      </c>
      <c r="F67" s="23">
        <f>'CONTRACTOR INPUT'!F67</f>
        <v>0</v>
      </c>
      <c r="G67" s="60">
        <f t="shared" si="2"/>
        <v>0</v>
      </c>
      <c r="I67" s="22">
        <f>'CONTRACTOR INPUT'!H67</f>
        <v>0</v>
      </c>
      <c r="K67" s="3">
        <f t="shared" si="3"/>
        <v>0</v>
      </c>
      <c r="L67" s="76">
        <f t="array" ref="L67">INDEX('INFO-P'!$G$2:$G$500,MATCH(1,($D$4='INFO-P'!$C$2:$C$500)*(B67='INFO-P'!$B$2:$B$500),0))</f>
        <v>48.6</v>
      </c>
      <c r="M67" s="29">
        <f t="shared" si="4"/>
        <v>0</v>
      </c>
    </row>
    <row r="68" spans="1:13" ht="15.75" thickBot="1" x14ac:dyDescent="0.3">
      <c r="A68" s="46" t="str">
        <f>'CONTRACTOR INPUT'!A68</f>
        <v>EP</v>
      </c>
      <c r="B68" s="42" t="str">
        <f>'CONTRACTOR INPUT'!B68</f>
        <v>IPO02A</v>
      </c>
      <c r="C68" s="42" t="str">
        <f>'CONTRACTOR INPUT'!C68</f>
        <v>I/M/S/P</v>
      </c>
      <c r="D68" s="42" t="str">
        <f>'CONTRACTOR INPUT'!D68</f>
        <v>OCalc Processing</v>
      </c>
      <c r="E68" s="42" t="str">
        <f>'CONTRACTOR INPUT'!E68</f>
        <v>PER POLE</v>
      </c>
      <c r="F68" s="23">
        <f>'CONTRACTOR INPUT'!F68</f>
        <v>0</v>
      </c>
      <c r="G68" s="60">
        <f t="shared" si="2"/>
        <v>0</v>
      </c>
      <c r="I68" s="22">
        <f>'CONTRACTOR INPUT'!H68</f>
        <v>0</v>
      </c>
      <c r="K68" s="3">
        <f t="shared" si="3"/>
        <v>0</v>
      </c>
      <c r="L68" s="76">
        <f t="array" ref="L68">INDEX('INFO-P'!$G$2:$G$500,MATCH(1,($D$4='INFO-P'!$C$2:$C$500)*(B68='INFO-P'!$B$2:$B$500),0))</f>
        <v>23.98</v>
      </c>
      <c r="M68" s="29">
        <f t="shared" si="4"/>
        <v>0</v>
      </c>
    </row>
    <row r="69" spans="1:13" ht="15.75" thickBot="1" x14ac:dyDescent="0.3">
      <c r="A69" s="46" t="str">
        <f>'CONTRACTOR INPUT'!A69</f>
        <v>POLE</v>
      </c>
      <c r="B69" s="42" t="str">
        <f>'CONTRACTOR INPUT'!B69</f>
        <v>IPO04A</v>
      </c>
      <c r="C69" s="42" t="str">
        <f>'CONTRACTOR INPUT'!C69</f>
        <v>I/M/S/P</v>
      </c>
      <c r="D69" s="42" t="str">
        <f>'CONTRACTOR INPUT'!D69</f>
        <v>Field visit and/or office research resulting Issuance of PWO/Manual Request</v>
      </c>
      <c r="E69" s="42" t="str">
        <f>'CONTRACTOR INPUT'!E69</f>
        <v>PER POLE</v>
      </c>
      <c r="F69" s="23">
        <f>'CONTRACTOR INPUT'!F69</f>
        <v>0</v>
      </c>
      <c r="G69" s="60">
        <f t="shared" si="2"/>
        <v>0</v>
      </c>
      <c r="I69" s="22">
        <f>'CONTRACTOR INPUT'!H69</f>
        <v>0</v>
      </c>
      <c r="K69" s="3">
        <f t="shared" si="3"/>
        <v>0</v>
      </c>
      <c r="L69" s="76">
        <f t="array" ref="L69">INDEX('INFO-P'!$G$2:$G$500,MATCH(1,($D$4='INFO-P'!$C$2:$C$500)*(B69='INFO-P'!$B$2:$B$500),0))</f>
        <v>68.69</v>
      </c>
      <c r="M69" s="29">
        <f t="shared" si="4"/>
        <v>0</v>
      </c>
    </row>
    <row r="70" spans="1:13" ht="15.75" thickBot="1" x14ac:dyDescent="0.3">
      <c r="A70" s="46" t="str">
        <f>'CONTRACTOR INPUT'!A70</f>
        <v>POLE</v>
      </c>
      <c r="B70" s="42" t="str">
        <f>'CONTRACTOR INPUT'!B70</f>
        <v>IPO06A</v>
      </c>
      <c r="C70" s="42" t="str">
        <f>'CONTRACTOR INPUT'!C70</f>
        <v>I/M/S/P</v>
      </c>
      <c r="D70" s="42" t="str">
        <f>'CONTRACTOR INPUT'!D70</f>
        <v>Pole Tracking Database Management</v>
      </c>
      <c r="E70" s="42" t="str">
        <f>'CONTRACTOR INPUT'!E70</f>
        <v>PER TICKET</v>
      </c>
      <c r="F70" s="23">
        <f>'CONTRACTOR INPUT'!F70</f>
        <v>0</v>
      </c>
      <c r="G70" s="60">
        <f t="shared" si="2"/>
        <v>0</v>
      </c>
      <c r="I70" s="22">
        <f>'CONTRACTOR INPUT'!H70</f>
        <v>0</v>
      </c>
      <c r="K70" s="71">
        <f>I70-F70</f>
        <v>0</v>
      </c>
      <c r="L70" s="76">
        <f t="array" ref="L70">INDEX('INFO-P'!$G$2:$G$500,MATCH(1,($D$4='INFO-P'!$C$2:$C$500)*(B70='INFO-P'!$B$2:$B$500),0))</f>
        <v>2.59</v>
      </c>
      <c r="M70" s="29">
        <f t="shared" si="4"/>
        <v>0</v>
      </c>
    </row>
    <row r="71" spans="1:13" ht="15.75" thickBot="1" x14ac:dyDescent="0.3">
      <c r="A71" s="46" t="str">
        <f>'CONTRACTOR INPUT'!A71</f>
        <v>POLE</v>
      </c>
      <c r="B71" s="42" t="str">
        <f>'CONTRACTOR INPUT'!B71</f>
        <v>IPO08A</v>
      </c>
      <c r="C71" s="42" t="str">
        <f>'CONTRACTOR INPUT'!C71</f>
        <v>I/M/S/P</v>
      </c>
      <c r="D71" s="42" t="str">
        <f>'CONTRACTOR INPUT'!D71</f>
        <v>PWO Preparation</v>
      </c>
      <c r="E71" s="42" t="str">
        <f>'CONTRACTOR INPUT'!E71</f>
        <v>PER POLE</v>
      </c>
      <c r="F71" s="23">
        <f>'CONTRACTOR INPUT'!F71</f>
        <v>0</v>
      </c>
      <c r="G71" s="60">
        <f t="shared" ref="G71:G133" si="5">IFERROR(L71*F71,"")</f>
        <v>0</v>
      </c>
      <c r="I71" s="22">
        <f>'CONTRACTOR INPUT'!H71</f>
        <v>0</v>
      </c>
      <c r="K71" s="71">
        <f>I71-F71</f>
        <v>0</v>
      </c>
      <c r="L71" s="76">
        <f t="array" ref="L71">INDEX('INFO-P'!$G$2:$G$500,MATCH(1,($D$4='INFO-P'!$C$2:$C$500)*(B71='INFO-P'!$B$2:$B$500),0))</f>
        <v>2.5299999999999998</v>
      </c>
      <c r="M71" s="29">
        <f t="shared" ref="M71:M78" si="6">IFERROR(K71*L71,"")</f>
        <v>0</v>
      </c>
    </row>
    <row r="72" spans="1:13" ht="15.75" thickBot="1" x14ac:dyDescent="0.3">
      <c r="A72" s="46" t="str">
        <f>'CONTRACTOR INPUT'!A72</f>
        <v>POLE</v>
      </c>
      <c r="B72" s="42" t="str">
        <f>'CONTRACTOR INPUT'!B72</f>
        <v>IPI00A</v>
      </c>
      <c r="C72" s="42" t="str">
        <f>'CONTRACTOR INPUT'!C72</f>
        <v>I/M/S/P</v>
      </c>
      <c r="D72" s="42" t="str">
        <f>'CONTRACTOR INPUT'!D72</f>
        <v>Simple pole inventory/survey data collection</v>
      </c>
      <c r="E72" s="42" t="str">
        <f>'CONTRACTOR INPUT'!E72</f>
        <v>PER POLE</v>
      </c>
      <c r="F72" s="23">
        <f>'CONTRACTOR INPUT'!F72</f>
        <v>0</v>
      </c>
      <c r="G72" s="60">
        <f t="shared" si="5"/>
        <v>0</v>
      </c>
      <c r="I72" s="22">
        <f>'CONTRACTOR INPUT'!H72</f>
        <v>0</v>
      </c>
      <c r="K72" s="3">
        <f t="shared" ref="K72:K78" si="7">I72-F72</f>
        <v>0</v>
      </c>
      <c r="L72" s="76">
        <f t="array" ref="L72">INDEX('INFO-P'!$G$2:$G$500,MATCH(1,($D$4='INFO-P'!$C$2:$C$500)*(B72='INFO-P'!$B$2:$B$500),0))</f>
        <v>3.08</v>
      </c>
      <c r="M72" s="29">
        <f t="shared" si="6"/>
        <v>0</v>
      </c>
    </row>
    <row r="73" spans="1:13" ht="15.75" thickBot="1" x14ac:dyDescent="0.3">
      <c r="A73" s="46" t="str">
        <f>'CONTRACTOR INPUT'!A73</f>
        <v>POLE</v>
      </c>
      <c r="B73" s="42" t="str">
        <f>'CONTRACTOR INPUT'!B73</f>
        <v>IPI02A</v>
      </c>
      <c r="C73" s="42" t="str">
        <f>'CONTRACTOR INPUT'!C73</f>
        <v>I/M/S/P</v>
      </c>
      <c r="D73" s="42" t="str">
        <f>'CONTRACTOR INPUT'!D73</f>
        <v>Complex pole inventory/survey data collection</v>
      </c>
      <c r="E73" s="42" t="str">
        <f>'CONTRACTOR INPUT'!E73</f>
        <v>PER POLE</v>
      </c>
      <c r="F73" s="23">
        <f>'CONTRACTOR INPUT'!F73</f>
        <v>0</v>
      </c>
      <c r="G73" s="60">
        <f t="shared" si="5"/>
        <v>0</v>
      </c>
      <c r="I73" s="22">
        <f>'CONTRACTOR INPUT'!H73</f>
        <v>0</v>
      </c>
      <c r="K73" s="3">
        <f t="shared" si="7"/>
        <v>0</v>
      </c>
      <c r="L73" s="76">
        <f t="array" ref="L73">INDEX('INFO-P'!$G$2:$G$500,MATCH(1,($D$4='INFO-P'!$C$2:$C$500)*(B73='INFO-P'!$B$2:$B$500),0))</f>
        <v>6.16</v>
      </c>
      <c r="M73" s="29">
        <f t="shared" si="6"/>
        <v>0</v>
      </c>
    </row>
    <row r="74" spans="1:13" ht="15.75" thickBot="1" x14ac:dyDescent="0.3">
      <c r="A74" s="46" t="str">
        <f>'CONTRACTOR INPUT'!A74</f>
        <v>POLE</v>
      </c>
      <c r="B74" s="42" t="str">
        <f>'CONTRACTOR INPUT'!B74</f>
        <v>ISS00A</v>
      </c>
      <c r="C74" s="42" t="str">
        <f>'CONTRACTOR INPUT'!C74</f>
        <v>I/M/S/P</v>
      </c>
      <c r="D74" s="42" t="str">
        <f>'CONTRACTOR INPUT'!D74</f>
        <v>Safety and Service Defects Office research only to provide answer/solution</v>
      </c>
      <c r="E74" s="42" t="str">
        <f>'CONTRACTOR INPUT'!E74</f>
        <v>EACH</v>
      </c>
      <c r="F74" s="23">
        <f>'CONTRACTOR INPUT'!F74</f>
        <v>0</v>
      </c>
      <c r="G74" s="60">
        <f t="shared" si="5"/>
        <v>0</v>
      </c>
      <c r="I74" s="22">
        <f>'CONTRACTOR INPUT'!H74</f>
        <v>0</v>
      </c>
      <c r="K74" s="3">
        <f t="shared" si="7"/>
        <v>0</v>
      </c>
      <c r="L74" s="76">
        <f t="array" ref="L74">INDEX('INFO-P'!$G$2:$G$500,MATCH(1,($D$4='INFO-P'!$C$2:$C$500)*(B74='INFO-P'!$B$2:$B$500),0))</f>
        <v>27.22</v>
      </c>
      <c r="M74" s="29">
        <f t="shared" si="6"/>
        <v>0</v>
      </c>
    </row>
    <row r="75" spans="1:13" ht="15.75" thickBot="1" x14ac:dyDescent="0.3">
      <c r="A75" s="46" t="str">
        <f>'CONTRACTOR INPUT'!A75</f>
        <v>POLE</v>
      </c>
      <c r="B75" s="42" t="str">
        <f>'CONTRACTOR INPUT'!B75</f>
        <v>ISS02A</v>
      </c>
      <c r="C75" s="42" t="str">
        <f>'CONTRACTOR INPUT'!C75</f>
        <v>I/M/S/P</v>
      </c>
      <c r="D75" s="42" t="str">
        <f>'CONTRACTOR INPUT'!D75</f>
        <v>Safety and Service Defects - Field visit and/or Office research resulting in issuance of PWO</v>
      </c>
      <c r="E75" s="42" t="str">
        <f>'CONTRACTOR INPUT'!E75</f>
        <v>EACH PWO</v>
      </c>
      <c r="F75" s="23">
        <f>'CONTRACTOR INPUT'!F75</f>
        <v>0</v>
      </c>
      <c r="G75" s="60">
        <f t="shared" si="5"/>
        <v>0</v>
      </c>
      <c r="I75" s="22">
        <f>'CONTRACTOR INPUT'!H75</f>
        <v>0</v>
      </c>
      <c r="K75" s="3">
        <f t="shared" si="7"/>
        <v>0</v>
      </c>
      <c r="L75" s="76">
        <f t="array" ref="L75">INDEX('INFO-P'!$G$2:$G$500,MATCH(1,($D$4='INFO-P'!$C$2:$C$500)*(B75='INFO-P'!$B$2:$B$500),0))</f>
        <v>66.099999999999994</v>
      </c>
      <c r="M75" s="29">
        <f t="shared" si="6"/>
        <v>0</v>
      </c>
    </row>
    <row r="76" spans="1:13" ht="15.75" thickBot="1" x14ac:dyDescent="0.3">
      <c r="A76" s="46" t="str">
        <f>'CONTRACTOR INPUT'!A76</f>
        <v>PERMIT</v>
      </c>
      <c r="B76" s="42" t="str">
        <f>'CONTRACTOR INPUT'!B76</f>
        <v>TPE00A</v>
      </c>
      <c r="C76" s="42" t="str">
        <f>'CONTRACTOR INPUT'!C76</f>
        <v>PERMITS</v>
      </c>
      <c r="D76" s="42" t="str">
        <f>'CONTRACTOR INPUT'!D76</f>
        <v>PERMIT (APPLICATION AND SKETCH) - PREPARATION</v>
      </c>
      <c r="E76" s="42" t="str">
        <f>'CONTRACTOR INPUT'!E76</f>
        <v>EACH</v>
      </c>
      <c r="F76" s="23">
        <f>'CONTRACTOR INPUT'!F76</f>
        <v>0</v>
      </c>
      <c r="G76" s="60">
        <f t="shared" si="5"/>
        <v>0</v>
      </c>
      <c r="I76" s="22">
        <f>'CONTRACTOR INPUT'!H76</f>
        <v>0</v>
      </c>
      <c r="K76" s="3">
        <f t="shared" si="7"/>
        <v>0</v>
      </c>
      <c r="L76" s="76">
        <f t="array" ref="L76">INDEX('INFO-P'!$G$2:$G$500,MATCH(1,($D$4='INFO-P'!$C$2:$C$500)*(B76='INFO-P'!$B$2:$B$500),0))</f>
        <v>65.290000000000006</v>
      </c>
      <c r="M76" s="29">
        <f t="shared" si="6"/>
        <v>0</v>
      </c>
    </row>
    <row r="77" spans="1:13" ht="15.75" thickBot="1" x14ac:dyDescent="0.3">
      <c r="A77" s="46" t="str">
        <f>'CONTRACTOR INPUT'!A77</f>
        <v>EP</v>
      </c>
      <c r="B77" s="42" t="str">
        <f>'CONTRACTOR INPUT'!B77</f>
        <v>TPE02A</v>
      </c>
      <c r="C77" s="42" t="str">
        <f>'CONTRACTOR INPUT'!C77</f>
        <v>PERMITS</v>
      </c>
      <c r="D77" s="42" t="str">
        <f>'CONTRACTOR INPUT'!D77</f>
        <v>PERMIT (APPLICATION AND SKETCH) - PREPERATION AND SUBMITTAL</v>
      </c>
      <c r="E77" s="42" t="str">
        <f>'CONTRACTOR INPUT'!E77</f>
        <v>EACH</v>
      </c>
      <c r="F77" s="23">
        <f>'CONTRACTOR INPUT'!F77</f>
        <v>0</v>
      </c>
      <c r="G77" s="60">
        <f t="shared" si="5"/>
        <v>0</v>
      </c>
      <c r="I77" s="22">
        <f>'CONTRACTOR INPUT'!H77</f>
        <v>0</v>
      </c>
      <c r="K77" s="3">
        <f t="shared" si="7"/>
        <v>0</v>
      </c>
      <c r="L77" s="76">
        <f t="array" ref="L77">INDEX('INFO-P'!$G$2:$G$500,MATCH(1,($D$4='INFO-P'!$C$2:$C$500)*(B77='INFO-P'!$B$2:$B$500),0))</f>
        <v>87.89</v>
      </c>
      <c r="M77" s="29">
        <f t="shared" si="6"/>
        <v>0</v>
      </c>
    </row>
    <row r="78" spans="1:13" ht="15.75" thickBot="1" x14ac:dyDescent="0.3">
      <c r="A78" s="46" t="str">
        <f>'CONTRACTOR INPUT'!A78</f>
        <v>PERMIT</v>
      </c>
      <c r="B78" s="42" t="str">
        <f>'CONTRACTOR INPUT'!B78</f>
        <v>TPE04A</v>
      </c>
      <c r="C78" s="42" t="str">
        <f>'CONTRACTOR INPUT'!C78</f>
        <v>PERMITS</v>
      </c>
      <c r="D78" s="42" t="str">
        <f>'CONTRACTOR INPUT'!D78</f>
        <v>PERMIT SCALED DRAWINGS ADD ON TO TEP00A, TPE02A and EWO Start Up package</v>
      </c>
      <c r="E78" s="42" t="str">
        <f>'CONTRACTOR INPUT'!E78</f>
        <v>PER FT</v>
      </c>
      <c r="F78" s="23">
        <f>'CONTRACTOR INPUT'!F78</f>
        <v>0</v>
      </c>
      <c r="G78" s="60">
        <f t="shared" si="5"/>
        <v>0</v>
      </c>
      <c r="I78" s="22">
        <f>'CONTRACTOR INPUT'!H78</f>
        <v>0</v>
      </c>
      <c r="K78" s="3">
        <f t="shared" si="7"/>
        <v>0</v>
      </c>
      <c r="L78" s="76">
        <f t="array" ref="L78">INDEX('INFO-P'!$G$2:$G$500,MATCH(1,($D$4='INFO-P'!$C$2:$C$500)*(B78='INFO-P'!$B$2:$B$500),0))</f>
        <v>0.73</v>
      </c>
      <c r="M78" s="29">
        <f t="shared" si="6"/>
        <v>0</v>
      </c>
    </row>
    <row r="79" spans="1:13" ht="15.75" thickBot="1" x14ac:dyDescent="0.3">
      <c r="A79" s="46" t="str">
        <f>'CONTRACTOR INPUT'!A79</f>
        <v>PERMIT</v>
      </c>
      <c r="B79" s="42" t="str">
        <f>'CONTRACTOR INPUT'!B79</f>
        <v>TPE06A</v>
      </c>
      <c r="C79" s="42" t="str">
        <f>'CONTRACTOR INPUT'!C79</f>
        <v>PERMITS</v>
      </c>
      <c r="D79" s="42" t="str">
        <f>'CONTRACTOR INPUT'!D79</f>
        <v>Miscellaneous Permit Cost - application fees</v>
      </c>
      <c r="E79" s="42" t="str">
        <f>'CONTRACTOR INPUT'!E79</f>
        <v>DOLLAR</v>
      </c>
      <c r="F79" s="23">
        <f>'CONTRACTOR INPUT'!F79</f>
        <v>0</v>
      </c>
      <c r="G79" s="60">
        <f t="shared" si="5"/>
        <v>0</v>
      </c>
      <c r="I79" s="22" t="str">
        <f>'CONTRACTOR INPUT'!H79</f>
        <v>INPUT $ AMOUNT</v>
      </c>
      <c r="K79" s="3" t="str">
        <f>IFERROR(I79-F79,"")</f>
        <v/>
      </c>
      <c r="L79" s="76">
        <f t="array" ref="L79">INDEX('INFO-P'!$G$2:$G$500,MATCH(1,($D$4='INFO-P'!$C$2:$C$500)*(B79='INFO-P'!$B$2:$B$500),0))</f>
        <v>0.47</v>
      </c>
      <c r="M79" s="29" t="str">
        <f>IFERROR(K79,"")</f>
        <v/>
      </c>
    </row>
    <row r="80" spans="1:13" ht="15.75" thickBot="1" x14ac:dyDescent="0.3">
      <c r="A80" s="46" t="str">
        <f>'CONTRACTOR INPUT'!A80</f>
        <v>EP</v>
      </c>
      <c r="B80" s="42" t="str">
        <f>'CONTRACTOR INPUT'!B80</f>
        <v>TCP00A</v>
      </c>
      <c r="C80" s="42" t="str">
        <f>'CONTRACTOR INPUT'!C80</f>
        <v>PERMITS</v>
      </c>
      <c r="D80" s="42" t="str">
        <f>'CONTRACTOR INPUT'!D80</f>
        <v>Traffic Control Plan</v>
      </c>
      <c r="E80" s="42" t="str">
        <f>'CONTRACTOR INPUT'!E80</f>
        <v>PLAN</v>
      </c>
      <c r="F80" s="23">
        <f>'CONTRACTOR INPUT'!F80</f>
        <v>0</v>
      </c>
      <c r="G80" s="60">
        <f t="shared" si="5"/>
        <v>0</v>
      </c>
      <c r="I80" s="22">
        <f>'CONTRACTOR INPUT'!H80</f>
        <v>0</v>
      </c>
      <c r="K80" s="3">
        <f>IFERROR(I80-F80,"")</f>
        <v>0</v>
      </c>
      <c r="L80" s="76">
        <f t="array" ref="L80">INDEX('INFO-P'!$G$2:$G$500,MATCH(1,($D$4='INFO-P'!$C$2:$C$500)*(B80='INFO-P'!$B$2:$B$500),0))</f>
        <v>95.42</v>
      </c>
      <c r="M80" s="29">
        <f t="shared" ref="M80:M136" si="8">IFERROR(K80,"")</f>
        <v>0</v>
      </c>
    </row>
    <row r="81" spans="1:13" ht="15.75" thickBot="1" x14ac:dyDescent="0.3">
      <c r="A81" s="46" t="str">
        <f>'CONTRACTOR INPUT'!A81</f>
        <v>P.E.</v>
      </c>
      <c r="B81" s="42" t="str">
        <f>'CONTRACTOR INPUT'!B81</f>
        <v>TOP00A</v>
      </c>
      <c r="C81" s="42" t="str">
        <f>'CONTRACTOR INPUT'!C81</f>
        <v>PERMITS</v>
      </c>
      <c r="D81" s="42" t="str">
        <f>'CONTRACTOR INPUT'!D81</f>
        <v>TOPO - ONE SIDE OF CENTERLINE TO ROW LIMITS- UP TO 500'</v>
      </c>
      <c r="E81" s="42" t="str">
        <f>'CONTRACTOR INPUT'!E81</f>
        <v>PROJECT</v>
      </c>
      <c r="F81" s="23">
        <f>'CONTRACTOR INPUT'!F81</f>
        <v>0</v>
      </c>
      <c r="G81" s="60">
        <f t="shared" si="5"/>
        <v>0</v>
      </c>
      <c r="I81" s="22">
        <f>'CONTRACTOR INPUT'!H81</f>
        <v>0</v>
      </c>
      <c r="K81" s="3">
        <f>IFERROR(I81-F81,"")</f>
        <v>0</v>
      </c>
      <c r="L81" s="76">
        <f t="array" ref="L81">INDEX('INFO-P'!$G$2:$G$500,MATCH(1,($D$4='INFO-P'!$C$2:$C$500)*(B81='INFO-P'!$B$2:$B$500),0))</f>
        <v>141.62</v>
      </c>
      <c r="M81" s="29">
        <f t="shared" si="8"/>
        <v>0</v>
      </c>
    </row>
    <row r="82" spans="1:13" ht="15.75" thickBot="1" x14ac:dyDescent="0.3">
      <c r="A82" s="46" t="str">
        <f>'CONTRACTOR INPUT'!A82</f>
        <v>P.E.</v>
      </c>
      <c r="B82" s="42" t="str">
        <f>'CONTRACTOR INPUT'!B82</f>
        <v>TOP02A</v>
      </c>
      <c r="C82" s="42" t="str">
        <f>'CONTRACTOR INPUT'!C82</f>
        <v>PERMITS</v>
      </c>
      <c r="D82" s="42" t="str">
        <f>'CONTRACTOR INPUT'!D82</f>
        <v>TOPO - Each ROD beyond ROW- UP TO 500'</v>
      </c>
      <c r="E82" s="42" t="str">
        <f>'CONTRACTOR INPUT'!E82</f>
        <v>PROJECT</v>
      </c>
      <c r="F82" s="23">
        <f>'CONTRACTOR INPUT'!F82</f>
        <v>0</v>
      </c>
      <c r="G82" s="60">
        <f t="shared" si="5"/>
        <v>0</v>
      </c>
      <c r="I82" s="22">
        <f>'CONTRACTOR INPUT'!H82</f>
        <v>0</v>
      </c>
      <c r="K82" s="3">
        <f t="shared" ref="K82:K134" si="9">IFERROR(I82-F82,"")</f>
        <v>0</v>
      </c>
      <c r="L82" s="76">
        <f t="array" ref="L82">INDEX('INFO-P'!$G$2:$G$500,MATCH(1,($D$4='INFO-P'!$C$2:$C$500)*(B82='INFO-P'!$B$2:$B$500),0))</f>
        <v>57.75</v>
      </c>
      <c r="M82" s="29">
        <f t="shared" si="8"/>
        <v>0</v>
      </c>
    </row>
    <row r="83" spans="1:13" ht="15.75" thickBot="1" x14ac:dyDescent="0.3">
      <c r="A83" s="46" t="str">
        <f>'CONTRACTOR INPUT'!A83</f>
        <v>P.E.</v>
      </c>
      <c r="B83" s="42" t="str">
        <f>'CONTRACTOR INPUT'!B83</f>
        <v>TOP04A</v>
      </c>
      <c r="C83" s="42" t="str">
        <f>'CONTRACTOR INPUT'!C83</f>
        <v>PERMITS</v>
      </c>
      <c r="D83" s="42" t="str">
        <f>'CONTRACTOR INPUT'!D83</f>
        <v>ADDER - TOPO- ONE SIDE OF CENTERLINE TO ROW LIMITS</v>
      </c>
      <c r="E83" s="42" t="str">
        <f>'CONTRACTOR INPUT'!E83</f>
        <v>PER 100 FT</v>
      </c>
      <c r="F83" s="23">
        <f>'CONTRACTOR INPUT'!F83</f>
        <v>0</v>
      </c>
      <c r="G83" s="60">
        <f t="shared" si="5"/>
        <v>0</v>
      </c>
      <c r="I83" s="22">
        <f>'CONTRACTOR INPUT'!H83</f>
        <v>0</v>
      </c>
      <c r="K83" s="3">
        <f t="shared" si="9"/>
        <v>0</v>
      </c>
      <c r="L83" s="76">
        <f t="array" ref="L83">INDEX('INFO-P'!$G$2:$G$500,MATCH(1,($D$4='INFO-P'!$C$2:$C$500)*(B83='INFO-P'!$B$2:$B$500),0))</f>
        <v>36.159999999999997</v>
      </c>
      <c r="M83" s="29">
        <f t="shared" si="8"/>
        <v>0</v>
      </c>
    </row>
    <row r="84" spans="1:13" ht="15.75" thickBot="1" x14ac:dyDescent="0.3">
      <c r="A84" s="46" t="str">
        <f>'CONTRACTOR INPUT'!A84</f>
        <v>P.E.</v>
      </c>
      <c r="B84" s="42" t="str">
        <f>'CONTRACTOR INPUT'!B84</f>
        <v>T0P06A</v>
      </c>
      <c r="C84" s="42" t="str">
        <f>'CONTRACTOR INPUT'!C84</f>
        <v>PERMITS</v>
      </c>
      <c r="D84" s="42" t="str">
        <f>'CONTRACTOR INPUT'!D84</f>
        <v>ADDER - TOPO - Each ROD beyond ROW</v>
      </c>
      <c r="E84" s="42" t="str">
        <f>'CONTRACTOR INPUT'!E84</f>
        <v>PER 100 FT</v>
      </c>
      <c r="F84" s="23">
        <f>'CONTRACTOR INPUT'!F84</f>
        <v>0</v>
      </c>
      <c r="G84" s="60" t="str">
        <f t="shared" si="5"/>
        <v/>
      </c>
      <c r="I84" s="22">
        <f>'CONTRACTOR INPUT'!H84</f>
        <v>0</v>
      </c>
      <c r="K84" s="3">
        <f t="shared" si="9"/>
        <v>0</v>
      </c>
      <c r="L84" s="76" t="str">
        <f t="array" ref="L84">INDEX('INFO-P'!$G$2:$G$500,MATCH(1,($D$4='INFO-P'!$C$2:$C$500)*(B84='INFO-P'!$B$2:$B$500),0))</f>
        <v>Not Priced At This Time.</v>
      </c>
      <c r="M84" s="29">
        <f t="shared" si="8"/>
        <v>0</v>
      </c>
    </row>
    <row r="85" spans="1:13" ht="15.75" thickBot="1" x14ac:dyDescent="0.3">
      <c r="A85" s="46" t="str">
        <f>'CONTRACTOR INPUT'!A85</f>
        <v>P.E.</v>
      </c>
      <c r="B85" s="42" t="str">
        <f>'CONTRACTOR INPUT'!B85</f>
        <v>TOP08A</v>
      </c>
      <c r="C85" s="42" t="str">
        <f>'CONTRACTOR INPUT'!C85</f>
        <v>PERMITS</v>
      </c>
      <c r="D85" s="42" t="str">
        <f>'CONTRACTOR INPUT'!D85</f>
        <v>TOPO - UPDATE EXISTING SURVEY/EXHIBIT- SAME SUPPLIER</v>
      </c>
      <c r="E85" s="42" t="str">
        <f>'CONTRACTOR INPUT'!E85</f>
        <v>PER FT</v>
      </c>
      <c r="F85" s="23">
        <f>'CONTRACTOR INPUT'!F85</f>
        <v>0</v>
      </c>
      <c r="G85" s="60" t="str">
        <f t="shared" si="5"/>
        <v/>
      </c>
      <c r="I85" s="22">
        <f>'CONTRACTOR INPUT'!H85</f>
        <v>0</v>
      </c>
      <c r="K85" s="3">
        <f t="shared" si="9"/>
        <v>0</v>
      </c>
      <c r="L85" s="76" t="e">
        <f t="array" ref="L85">INDEX('INFO-P'!$G$2:$G$500,MATCH(1,($D$4='INFO-P'!$C$2:$C$500)*(B85='INFO-P'!$B$2:$B$500),0))</f>
        <v>#N/A</v>
      </c>
      <c r="M85" s="29">
        <f t="shared" si="8"/>
        <v>0</v>
      </c>
    </row>
    <row r="86" spans="1:13" ht="15.75" thickBot="1" x14ac:dyDescent="0.3">
      <c r="A86" s="46" t="str">
        <f>'CONTRACTOR INPUT'!A86</f>
        <v>P.E.</v>
      </c>
      <c r="B86" s="42" t="str">
        <f>'CONTRACTOR INPUT'!B86</f>
        <v>TPS00A</v>
      </c>
      <c r="C86" s="42" t="str">
        <f>'CONTRACTOR INPUT'!C86</f>
        <v>PERMITS</v>
      </c>
      <c r="D86" s="42" t="str">
        <f>'CONTRACTOR INPUT'!D86</f>
        <v>Professional Engineering Stamp</v>
      </c>
      <c r="E86" s="42" t="str">
        <f>'CONTRACTOR INPUT'!E86</f>
        <v>PER PROJECT</v>
      </c>
      <c r="F86" s="23">
        <f>'CONTRACTOR INPUT'!F86</f>
        <v>0</v>
      </c>
      <c r="G86" s="60" t="str">
        <f t="shared" si="5"/>
        <v/>
      </c>
      <c r="I86" s="22">
        <f>'CONTRACTOR INPUT'!H86</f>
        <v>0</v>
      </c>
      <c r="K86" s="3">
        <f t="shared" si="9"/>
        <v>0</v>
      </c>
      <c r="L86" s="76" t="e">
        <f t="array" ref="L86">INDEX('INFO-P'!$G$2:$G$500,MATCH(1,($D$4='INFO-P'!$C$2:$C$500)*(B86='INFO-P'!$B$2:$B$500),0))</f>
        <v>#N/A</v>
      </c>
      <c r="M86" s="29">
        <f t="shared" si="8"/>
        <v>0</v>
      </c>
    </row>
    <row r="87" spans="1:13" ht="15.75" thickBot="1" x14ac:dyDescent="0.3">
      <c r="A87" s="46" t="str">
        <f>'CONTRACTOR INPUT'!A87</f>
        <v>CAD</v>
      </c>
      <c r="B87" s="42" t="str">
        <f>'CONTRACTOR INPUT'!B87</f>
        <v>DCA00A</v>
      </c>
      <c r="C87" s="42" t="str">
        <f>'CONTRACTOR INPUT'!C87</f>
        <v>CAD</v>
      </c>
      <c r="D87" s="42" t="str">
        <f>'CONTRACTOR INPUT'!D87</f>
        <v>CAD Only Startup</v>
      </c>
      <c r="E87" s="42" t="str">
        <f>'CONTRACTOR INPUT'!E87</f>
        <v>PER REQUEST</v>
      </c>
      <c r="F87" s="23">
        <f>'CONTRACTOR INPUT'!F87</f>
        <v>0</v>
      </c>
      <c r="G87" s="60" t="str">
        <f t="shared" si="5"/>
        <v/>
      </c>
      <c r="I87" s="22">
        <f>'CONTRACTOR INPUT'!H87</f>
        <v>0</v>
      </c>
      <c r="K87" s="3">
        <f t="shared" si="9"/>
        <v>0</v>
      </c>
      <c r="L87" s="76" t="e">
        <f t="array" ref="L87">INDEX('INFO-P'!$G$2:$G$500,MATCH(1,($D$4='INFO-P'!$C$2:$C$500)*(B87='INFO-P'!$B$2:$B$500),0))</f>
        <v>#N/A</v>
      </c>
      <c r="M87" s="29">
        <f t="shared" si="8"/>
        <v>0</v>
      </c>
    </row>
    <row r="88" spans="1:13" ht="15.75" thickBot="1" x14ac:dyDescent="0.3">
      <c r="A88" s="46" t="str">
        <f>'CONTRACTOR INPUT'!A88</f>
        <v>CAD</v>
      </c>
      <c r="B88" s="42" t="str">
        <f>'CONTRACTOR INPUT'!B88</f>
        <v>DCA02A</v>
      </c>
      <c r="C88" s="42" t="str">
        <f>'CONTRACTOR INPUT'!C88</f>
        <v>CAD</v>
      </c>
      <c r="D88" s="42" t="str">
        <f>'CONTRACTOR INPUT'!D88</f>
        <v>CAD Only Footage adder</v>
      </c>
      <c r="E88" s="42" t="str">
        <f>'CONTRACTOR INPUT'!E88</f>
        <v>PER LINEAR FT</v>
      </c>
      <c r="F88" s="23">
        <f>'CONTRACTOR INPUT'!F88</f>
        <v>0</v>
      </c>
      <c r="G88" s="60" t="str">
        <f t="shared" si="5"/>
        <v/>
      </c>
      <c r="I88" s="22">
        <f>'CONTRACTOR INPUT'!H88</f>
        <v>0</v>
      </c>
      <c r="K88" s="3">
        <f t="shared" si="9"/>
        <v>0</v>
      </c>
      <c r="L88" s="76" t="e">
        <f t="array" ref="L88">INDEX('INFO-P'!$G$2:$G$500,MATCH(1,($D$4='INFO-P'!$C$2:$C$500)*(B88='INFO-P'!$B$2:$B$500),0))</f>
        <v>#N/A</v>
      </c>
      <c r="M88" s="29">
        <f t="shared" si="8"/>
        <v>0</v>
      </c>
    </row>
    <row r="89" spans="1:13" ht="15.75" thickBot="1" x14ac:dyDescent="0.3">
      <c r="A89" s="46" t="str">
        <f>'CONTRACTOR INPUT'!A89</f>
        <v>CAD</v>
      </c>
      <c r="B89" s="42" t="str">
        <f>'CONTRACTOR INPUT'!B89</f>
        <v>DCA04A</v>
      </c>
      <c r="C89" s="42" t="str">
        <f>'CONTRACTOR INPUT'!C89</f>
        <v>CAD</v>
      </c>
      <c r="D89" s="42" t="str">
        <f>'CONTRACTOR INPUT'!D89</f>
        <v>CAD Only - DLE/Pole/Splice/Terminal location adder</v>
      </c>
      <c r="E89" s="42" t="str">
        <f>'CONTRACTOR INPUT'!E89</f>
        <v>PER LOCATION</v>
      </c>
      <c r="F89" s="23">
        <f>'CONTRACTOR INPUT'!F89</f>
        <v>0</v>
      </c>
      <c r="G89" s="60" t="str">
        <f t="shared" si="5"/>
        <v/>
      </c>
      <c r="I89" s="22">
        <f>'CONTRACTOR INPUT'!H89</f>
        <v>0</v>
      </c>
      <c r="K89" s="3">
        <f t="shared" si="9"/>
        <v>0</v>
      </c>
      <c r="L89" s="76" t="e">
        <f t="array" ref="L89">INDEX('INFO-P'!$G$2:$G$500,MATCH(1,($D$4='INFO-P'!$C$2:$C$500)*(B89='INFO-P'!$B$2:$B$500),0))</f>
        <v>#N/A</v>
      </c>
      <c r="M89" s="29">
        <f t="shared" si="8"/>
        <v>0</v>
      </c>
    </row>
    <row r="90" spans="1:13" ht="15.75" thickBot="1" x14ac:dyDescent="0.3">
      <c r="A90" s="46" t="str">
        <f>'CONTRACTOR INPUT'!A90</f>
        <v>CAD</v>
      </c>
      <c r="B90" s="42" t="str">
        <f>'CONTRACTOR INPUT'!B90</f>
        <v>DCA06A</v>
      </c>
      <c r="C90" s="42" t="str">
        <f>'CONTRACTOR INPUT'!C90</f>
        <v>CAD</v>
      </c>
      <c r="D90" s="42" t="str">
        <f>'CONTRACTOR INPUT'!D90</f>
        <v>CAD with Design</v>
      </c>
      <c r="E90" s="42" t="str">
        <f>'CONTRACTOR INPUT'!E90</f>
        <v>PER REQUEST</v>
      </c>
      <c r="F90" s="23">
        <f>'CONTRACTOR INPUT'!F90</f>
        <v>0</v>
      </c>
      <c r="G90" s="60" t="str">
        <f t="shared" si="5"/>
        <v/>
      </c>
      <c r="I90" s="22">
        <f>'CONTRACTOR INPUT'!H90</f>
        <v>0</v>
      </c>
      <c r="K90" s="3">
        <f t="shared" si="9"/>
        <v>0</v>
      </c>
      <c r="L90" s="76" t="e">
        <f t="array" ref="L90">INDEX('INFO-P'!$G$2:$G$500,MATCH(1,($D$4='INFO-P'!$C$2:$C$500)*(B90='INFO-P'!$B$2:$B$500),0))</f>
        <v>#N/A</v>
      </c>
      <c r="M90" s="29">
        <f t="shared" si="8"/>
        <v>0</v>
      </c>
    </row>
    <row r="91" spans="1:13" ht="15.75" thickBot="1" x14ac:dyDescent="0.3">
      <c r="A91" s="46" t="str">
        <f>'CONTRACTOR INPUT'!A91</f>
        <v>CAD</v>
      </c>
      <c r="B91" s="42" t="str">
        <f>'CONTRACTOR INPUT'!B91</f>
        <v>DCA08A</v>
      </c>
      <c r="C91" s="42" t="str">
        <f>'CONTRACTOR INPUT'!C91</f>
        <v>CAD</v>
      </c>
      <c r="D91" s="42" t="str">
        <f>'CONTRACTOR INPUT'!D91</f>
        <v>CAD with Design - Footage adder</v>
      </c>
      <c r="E91" s="42" t="str">
        <f>'CONTRACTOR INPUT'!E91</f>
        <v>PER FT</v>
      </c>
      <c r="F91" s="23">
        <f>'CONTRACTOR INPUT'!F91</f>
        <v>0</v>
      </c>
      <c r="G91" s="60" t="str">
        <f t="shared" si="5"/>
        <v/>
      </c>
      <c r="I91" s="22">
        <f>'CONTRACTOR INPUT'!H91</f>
        <v>0</v>
      </c>
      <c r="K91" s="3">
        <f t="shared" si="9"/>
        <v>0</v>
      </c>
      <c r="L91" s="76" t="e">
        <f t="array" ref="L91">INDEX('INFO-P'!$G$2:$G$500,MATCH(1,($D$4='INFO-P'!$C$2:$C$500)*(B91='INFO-P'!$B$2:$B$500),0))</f>
        <v>#N/A</v>
      </c>
      <c r="M91" s="29">
        <f t="shared" si="8"/>
        <v>0</v>
      </c>
    </row>
    <row r="92" spans="1:13" ht="15.75" thickBot="1" x14ac:dyDescent="0.3">
      <c r="A92" s="46" t="str">
        <f>'CONTRACTOR INPUT'!A92</f>
        <v>CAD</v>
      </c>
      <c r="B92" s="42" t="str">
        <f>'CONTRACTOR INPUT'!B92</f>
        <v>DCA10A</v>
      </c>
      <c r="C92" s="42" t="str">
        <f>'CONTRACTOR INPUT'!C92</f>
        <v>CAD</v>
      </c>
      <c r="D92" s="42" t="str">
        <f>'CONTRACTOR INPUT'!D92</f>
        <v>CAD with Design - Footage adder – removed/abandoned cable</v>
      </c>
      <c r="E92" s="42" t="str">
        <f>'CONTRACTOR INPUT'!E92</f>
        <v>PER FT</v>
      </c>
      <c r="F92" s="23">
        <f>'CONTRACTOR INPUT'!F92</f>
        <v>0</v>
      </c>
      <c r="G92" s="60" t="str">
        <f t="shared" si="5"/>
        <v/>
      </c>
      <c r="I92" s="22">
        <f>'CONTRACTOR INPUT'!H92</f>
        <v>0</v>
      </c>
      <c r="K92" s="3">
        <f t="shared" si="9"/>
        <v>0</v>
      </c>
      <c r="L92" s="76" t="e">
        <f t="array" ref="L92">INDEX('INFO-P'!$G$2:$G$500,MATCH(1,($D$4='INFO-P'!$C$2:$C$500)*(B92='INFO-P'!$B$2:$B$500),0))</f>
        <v>#N/A</v>
      </c>
      <c r="M92" s="29">
        <f t="shared" si="8"/>
        <v>0</v>
      </c>
    </row>
    <row r="93" spans="1:13" ht="15.75" thickBot="1" x14ac:dyDescent="0.3">
      <c r="A93" s="46" t="str">
        <f>'CONTRACTOR INPUT'!A93</f>
        <v>CAD</v>
      </c>
      <c r="B93" s="42" t="str">
        <f>'CONTRACTOR INPUT'!B93</f>
        <v>DCA12A</v>
      </c>
      <c r="C93" s="42" t="str">
        <f>'CONTRACTOR INPUT'!C93</f>
        <v>CAD</v>
      </c>
      <c r="D93" s="42" t="str">
        <f>'CONTRACTOR INPUT'!D93</f>
        <v>CAD with Design - Footage adder – standalone duct placed for future use</v>
      </c>
      <c r="E93" s="42" t="str">
        <f>'CONTRACTOR INPUT'!E93</f>
        <v>PER FT</v>
      </c>
      <c r="F93" s="23">
        <f>'CONTRACTOR INPUT'!F93</f>
        <v>0</v>
      </c>
      <c r="G93" s="60" t="str">
        <f t="shared" si="5"/>
        <v/>
      </c>
      <c r="I93" s="22">
        <f>'CONTRACTOR INPUT'!H93</f>
        <v>0</v>
      </c>
      <c r="K93" s="3">
        <f t="shared" si="9"/>
        <v>0</v>
      </c>
      <c r="L93" s="76" t="e">
        <f t="array" ref="L93">INDEX('INFO-P'!$G$2:$G$500,MATCH(1,($D$4='INFO-P'!$C$2:$C$500)*(B93='INFO-P'!$B$2:$B$500),0))</f>
        <v>#N/A</v>
      </c>
      <c r="M93" s="29">
        <f t="shared" si="8"/>
        <v>0</v>
      </c>
    </row>
    <row r="94" spans="1:13" ht="15.75" thickBot="1" x14ac:dyDescent="0.3">
      <c r="A94" s="46" t="str">
        <f>'CONTRACTOR INPUT'!A94</f>
        <v>CAD</v>
      </c>
      <c r="B94" s="42" t="str">
        <f>'CONTRACTOR INPUT'!B94</f>
        <v>DCA14A</v>
      </c>
      <c r="C94" s="42" t="str">
        <f>'CONTRACTOR INPUT'!C94</f>
        <v>CAD</v>
      </c>
      <c r="D94" s="42" t="str">
        <f>'CONTRACTOR INPUT'!D94</f>
        <v>CAD with Design - Location adder (simple)</v>
      </c>
      <c r="E94" s="42" t="str">
        <f>'CONTRACTOR INPUT'!E94</f>
        <v>PER LOCATION</v>
      </c>
      <c r="F94" s="23">
        <f>'CONTRACTOR INPUT'!F94</f>
        <v>0</v>
      </c>
      <c r="G94" s="60" t="str">
        <f t="shared" si="5"/>
        <v/>
      </c>
      <c r="I94" s="22">
        <f>'CONTRACTOR INPUT'!H94</f>
        <v>0</v>
      </c>
      <c r="K94" s="3">
        <f t="shared" si="9"/>
        <v>0</v>
      </c>
      <c r="L94" s="76" t="e">
        <f t="array" ref="L94">INDEX('INFO-P'!$G$2:$G$500,MATCH(1,($D$4='INFO-P'!$C$2:$C$500)*(B94='INFO-P'!$B$2:$B$500),0))</f>
        <v>#N/A</v>
      </c>
      <c r="M94" s="29">
        <f t="shared" si="8"/>
        <v>0</v>
      </c>
    </row>
    <row r="95" spans="1:13" ht="15.75" thickBot="1" x14ac:dyDescent="0.3">
      <c r="A95" s="46" t="str">
        <f>'CONTRACTOR INPUT'!A95</f>
        <v>CAD</v>
      </c>
      <c r="B95" s="42" t="str">
        <f>'CONTRACTOR INPUT'!B95</f>
        <v>DCA16A</v>
      </c>
      <c r="C95" s="42" t="str">
        <f>'CONTRACTOR INPUT'!C95</f>
        <v>CAD</v>
      </c>
      <c r="D95" s="42" t="str">
        <f>'CONTRACTOR INPUT'!D95</f>
        <v>CAD with Design - Location adder (complex)</v>
      </c>
      <c r="E95" s="42" t="str">
        <f>'CONTRACTOR INPUT'!E95</f>
        <v>PER LOCATION</v>
      </c>
      <c r="F95" s="23">
        <f>'CONTRACTOR INPUT'!F95</f>
        <v>0</v>
      </c>
      <c r="G95" s="60" t="str">
        <f t="shared" si="5"/>
        <v/>
      </c>
      <c r="I95" s="22">
        <f>'CONTRACTOR INPUT'!H95</f>
        <v>0</v>
      </c>
      <c r="K95" s="3">
        <f t="shared" si="9"/>
        <v>0</v>
      </c>
      <c r="L95" s="76" t="e">
        <f t="array" ref="L95">INDEX('INFO-P'!$G$2:$G$500,MATCH(1,($D$4='INFO-P'!$C$2:$C$500)*(B95='INFO-P'!$B$2:$B$500),0))</f>
        <v>#N/A</v>
      </c>
      <c r="M95" s="29">
        <f t="shared" si="8"/>
        <v>0</v>
      </c>
    </row>
    <row r="96" spans="1:13" ht="15.75" thickBot="1" x14ac:dyDescent="0.3">
      <c r="A96" s="46" t="str">
        <f>'CONTRACTOR INPUT'!A96</f>
        <v>O</v>
      </c>
      <c r="B96" s="42" t="str">
        <f>'CONTRACTOR INPUT'!B96</f>
        <v>ODA00A</v>
      </c>
      <c r="C96" s="42" t="str">
        <f>'CONTRACTOR INPUT'!C96</f>
        <v>OSA WORK</v>
      </c>
      <c r="D96" s="42" t="str">
        <f>'CONTRACTOR INPUT'!D96</f>
        <v>OSA Startup</v>
      </c>
      <c r="E96" s="42" t="str">
        <f>'CONTRACTOR INPUT'!E96</f>
        <v>PER OSA</v>
      </c>
      <c r="F96" s="23">
        <f>'CONTRACTOR INPUT'!F96</f>
        <v>0</v>
      </c>
      <c r="G96" s="60" t="str">
        <f t="shared" si="5"/>
        <v/>
      </c>
      <c r="I96" s="22">
        <f>'CONTRACTOR INPUT'!H96</f>
        <v>0</v>
      </c>
      <c r="K96" s="3">
        <f t="shared" si="9"/>
        <v>0</v>
      </c>
      <c r="L96" s="76" t="e">
        <f t="array" ref="L96">INDEX('INFO-P'!$G$2:$G$500,MATCH(1,($D$4='INFO-P'!$C$2:$C$500)*(B96='INFO-P'!$B$2:$B$500),0))</f>
        <v>#N/A</v>
      </c>
      <c r="M96" s="29">
        <f t="shared" si="8"/>
        <v>0</v>
      </c>
    </row>
    <row r="97" spans="1:13" ht="15.75" thickBot="1" x14ac:dyDescent="0.3">
      <c r="A97" s="46" t="str">
        <f>'CONTRACTOR INPUT'!A97</f>
        <v>O</v>
      </c>
      <c r="B97" s="42" t="str">
        <f>'CONTRACTOR INPUT'!B97</f>
        <v>ODA02A</v>
      </c>
      <c r="C97" s="42" t="str">
        <f>'CONTRACTOR INPUT'!C97</f>
        <v>OSA WORK</v>
      </c>
      <c r="D97" s="42" t="str">
        <f>'CONTRACTOR INPUT'!D97</f>
        <v>Fiber Cross Connect</v>
      </c>
      <c r="E97" s="42" t="str">
        <f>'CONTRACTOR INPUT'!E97</f>
        <v>PER CROSS CONNECT</v>
      </c>
      <c r="F97" s="23">
        <f>'CONTRACTOR INPUT'!F97</f>
        <v>0</v>
      </c>
      <c r="G97" s="60" t="str">
        <f t="shared" si="5"/>
        <v/>
      </c>
      <c r="I97" s="22">
        <f>'CONTRACTOR INPUT'!H97</f>
        <v>0</v>
      </c>
      <c r="K97" s="3">
        <f t="shared" si="9"/>
        <v>0</v>
      </c>
      <c r="L97" s="76" t="e">
        <f t="array" ref="L97">INDEX('INFO-P'!$G$2:$G$500,MATCH(1,($D$4='INFO-P'!$C$2:$C$500)*(B97='INFO-P'!$B$2:$B$500),0))</f>
        <v>#N/A</v>
      </c>
      <c r="M97" s="29">
        <f t="shared" si="8"/>
        <v>0</v>
      </c>
    </row>
    <row r="98" spans="1:13" ht="15.75" thickBot="1" x14ac:dyDescent="0.3">
      <c r="A98" s="46" t="str">
        <f>'CONTRACTOR INPUT'!A98</f>
        <v>O</v>
      </c>
      <c r="B98" s="42" t="str">
        <f>'CONTRACTOR INPUT'!B98</f>
        <v>ODA04A</v>
      </c>
      <c r="C98" s="42" t="str">
        <f>'CONTRACTOR INPUT'!C98</f>
        <v>OSA WORK</v>
      </c>
      <c r="D98" s="42" t="str">
        <f>'CONTRACTOR INPUT'!D98</f>
        <v>SBU or MDU building structure</v>
      </c>
      <c r="E98" s="42" t="str">
        <f>'CONTRACTOR INPUT'!E98</f>
        <v>PER ADDRESSABLE BULDING STRUCTURE</v>
      </c>
      <c r="F98" s="23">
        <f>'CONTRACTOR INPUT'!F98</f>
        <v>0</v>
      </c>
      <c r="G98" s="60" t="str">
        <f t="shared" si="5"/>
        <v/>
      </c>
      <c r="I98" s="22">
        <f>'CONTRACTOR INPUT'!H98</f>
        <v>0</v>
      </c>
      <c r="K98" s="3">
        <f t="shared" si="9"/>
        <v>0</v>
      </c>
      <c r="L98" s="76" t="e">
        <f t="array" ref="L98">INDEX('INFO-P'!$G$2:$G$500,MATCH(1,($D$4='INFO-P'!$C$2:$C$500)*(B98='INFO-P'!$B$2:$B$500),0))</f>
        <v>#N/A</v>
      </c>
      <c r="M98" s="29">
        <f t="shared" si="8"/>
        <v>0</v>
      </c>
    </row>
    <row r="99" spans="1:13" ht="15.75" thickBot="1" x14ac:dyDescent="0.3">
      <c r="A99" s="46" t="str">
        <f>'CONTRACTOR INPUT'!A99</f>
        <v>O</v>
      </c>
      <c r="B99" s="42" t="str">
        <f>'CONTRACTOR INPUT'!B99</f>
        <v>ODA06A</v>
      </c>
      <c r="C99" s="42" t="str">
        <f>'CONTRACTOR INPUT'!C99</f>
        <v>OSA WORK</v>
      </c>
      <c r="D99" s="42" t="str">
        <f>'CONTRACTOR INPUT'!D99</f>
        <v>Address Identified – Add on to ODA04A</v>
      </c>
      <c r="E99" s="42" t="str">
        <f>'CONTRACTOR INPUT'!E99</f>
        <v xml:space="preserve">PER ADDRESS </v>
      </c>
      <c r="F99" s="23">
        <f>'CONTRACTOR INPUT'!F99</f>
        <v>0</v>
      </c>
      <c r="G99" s="60" t="str">
        <f t="shared" si="5"/>
        <v/>
      </c>
      <c r="I99" s="22">
        <f>'CONTRACTOR INPUT'!H99</f>
        <v>0</v>
      </c>
      <c r="K99" s="3">
        <f t="shared" si="9"/>
        <v>0</v>
      </c>
      <c r="L99" s="76" t="e">
        <f t="array" ref="L99">INDEX('INFO-P'!$G$2:$G$500,MATCH(1,($D$4='INFO-P'!$C$2:$C$500)*(B99='INFO-P'!$B$2:$B$500),0))</f>
        <v>#N/A</v>
      </c>
      <c r="M99" s="29">
        <f t="shared" si="8"/>
        <v>0</v>
      </c>
    </row>
    <row r="100" spans="1:13" ht="15.75" thickBot="1" x14ac:dyDescent="0.3">
      <c r="A100" s="46" t="str">
        <f>'CONTRACTOR INPUT'!A100</f>
        <v>O</v>
      </c>
      <c r="B100" s="42" t="str">
        <f>'CONTRACTOR INPUT'!B100</f>
        <v>ODA08A</v>
      </c>
      <c r="C100" s="42" t="str">
        <f>'CONTRACTOR INPUT'!C100</f>
        <v>OSA WORK</v>
      </c>
      <c r="D100" s="42" t="str">
        <f>'CONTRACTOR INPUT'!D100</f>
        <v>Single Family Address</v>
      </c>
      <c r="E100" s="42" t="str">
        <f>'CONTRACTOR INPUT'!E100</f>
        <v>PER LU</v>
      </c>
      <c r="F100" s="23">
        <f>'CONTRACTOR INPUT'!F100</f>
        <v>0</v>
      </c>
      <c r="G100" s="60" t="str">
        <f t="shared" si="5"/>
        <v/>
      </c>
      <c r="I100" s="22">
        <f>'CONTRACTOR INPUT'!H100</f>
        <v>0</v>
      </c>
      <c r="K100" s="3">
        <f t="shared" si="9"/>
        <v>0</v>
      </c>
      <c r="L100" s="76" t="e">
        <f t="array" ref="L100">INDEX('INFO-P'!$G$2:$G$500,MATCH(1,($D$4='INFO-P'!$C$2:$C$500)*(B100='INFO-P'!$B$2:$B$500),0))</f>
        <v>#N/A</v>
      </c>
      <c r="M100" s="29">
        <f t="shared" si="8"/>
        <v>0</v>
      </c>
    </row>
    <row r="101" spans="1:13" ht="15.75" thickBot="1" x14ac:dyDescent="0.3">
      <c r="A101" s="46" t="str">
        <f>'CONTRACTOR INPUT'!A101</f>
        <v>ROW</v>
      </c>
      <c r="B101" s="42" t="str">
        <f>'CONTRACTOR INPUT'!B101</f>
        <v>SAC00A</v>
      </c>
      <c r="C101" s="42" t="str">
        <f>'CONTRACTOR INPUT'!C101</f>
        <v>STRUCT ACC</v>
      </c>
      <c r="D101" s="42" t="str">
        <f>'CONTRACTOR INPUT'!D101</f>
        <v>Structure Access Initial Review – Underground/Aerial</v>
      </c>
      <c r="E101" s="42" t="str">
        <f>'CONTRACTOR INPUT'!E101</f>
        <v>EACH</v>
      </c>
      <c r="F101" s="23">
        <f>'CONTRACTOR INPUT'!F101</f>
        <v>0</v>
      </c>
      <c r="G101" s="60" t="str">
        <f t="shared" si="5"/>
        <v/>
      </c>
      <c r="I101" s="22">
        <f>'CONTRACTOR INPUT'!H101</f>
        <v>0</v>
      </c>
      <c r="K101" s="3">
        <f t="shared" si="9"/>
        <v>0</v>
      </c>
      <c r="L101" s="76" t="e">
        <f t="array" ref="L101">INDEX('INFO-P'!$G$2:$G$500,MATCH(1,($D$4='INFO-P'!$C$2:$C$500)*(B101='INFO-P'!$B$2:$B$500),0))</f>
        <v>#N/A</v>
      </c>
      <c r="M101" s="29">
        <f t="shared" si="8"/>
        <v>0</v>
      </c>
    </row>
    <row r="102" spans="1:13" ht="15.75" thickBot="1" x14ac:dyDescent="0.3">
      <c r="A102" s="46" t="str">
        <f>'CONTRACTOR INPUT'!A102</f>
        <v>CWOT</v>
      </c>
      <c r="B102" s="42" t="str">
        <f>'CONTRACTOR INPUT'!B102</f>
        <v>SAC02A</v>
      </c>
      <c r="C102" s="42" t="str">
        <f>'CONTRACTOR INPUT'!C102</f>
        <v>STRUCT ACC</v>
      </c>
      <c r="D102" s="42" t="str">
        <f>'CONTRACTOR INPUT'!D102</f>
        <v>Develop cost estimate for make ready construction work – Underground/Aerial</v>
      </c>
      <c r="E102" s="42" t="str">
        <f>'CONTRACTOR INPUT'!E102</f>
        <v>PER REQUEST</v>
      </c>
      <c r="F102" s="23">
        <f>'CONTRACTOR INPUT'!F102</f>
        <v>0</v>
      </c>
      <c r="G102" s="60" t="str">
        <f t="shared" si="5"/>
        <v/>
      </c>
      <c r="I102" s="22">
        <f>'CONTRACTOR INPUT'!H102</f>
        <v>0</v>
      </c>
      <c r="K102" s="3">
        <f t="shared" si="9"/>
        <v>0</v>
      </c>
      <c r="L102" s="76" t="e">
        <f t="array" ref="L102">INDEX('INFO-P'!$G$2:$G$500,MATCH(1,($D$4='INFO-P'!$C$2:$C$500)*(B102='INFO-P'!$B$2:$B$500),0))</f>
        <v>#N/A</v>
      </c>
      <c r="M102" s="29">
        <f t="shared" si="8"/>
        <v>0</v>
      </c>
    </row>
    <row r="103" spans="1:13" ht="15.75" thickBot="1" x14ac:dyDescent="0.3">
      <c r="A103" s="46" t="str">
        <f>'CONTRACTOR INPUT'!A103</f>
        <v>EP</v>
      </c>
      <c r="B103" s="42" t="str">
        <f>'CONTRACTOR INPUT'!B103</f>
        <v>SAC04A</v>
      </c>
      <c r="C103" s="42" t="str">
        <f>'CONTRACTOR INPUT'!C103</f>
        <v>STRUCT ACC</v>
      </c>
      <c r="D103" s="42" t="str">
        <f>'CONTRACTOR INPUT'!D103</f>
        <v>Records, Posting, and/or Accounting Correction – No fielding required</v>
      </c>
      <c r="E103" s="42" t="str">
        <f>'CONTRACTOR INPUT'!E103</f>
        <v>PER LOCATION</v>
      </c>
      <c r="F103" s="23">
        <f>'CONTRACTOR INPUT'!F103</f>
        <v>0</v>
      </c>
      <c r="G103" s="60" t="str">
        <f t="shared" si="5"/>
        <v/>
      </c>
      <c r="I103" s="22">
        <f>'CONTRACTOR INPUT'!H103</f>
        <v>0</v>
      </c>
      <c r="K103" s="3">
        <f t="shared" si="9"/>
        <v>0</v>
      </c>
      <c r="L103" s="76" t="e">
        <f t="array" ref="L103">INDEX('INFO-P'!$G$2:$G$500,MATCH(1,($D$4='INFO-P'!$C$2:$C$500)*(B103='INFO-P'!$B$2:$B$500),0))</f>
        <v>#N/A</v>
      </c>
      <c r="M103" s="29">
        <f t="shared" si="8"/>
        <v>0</v>
      </c>
    </row>
    <row r="104" spans="1:13" ht="15.75" thickBot="1" x14ac:dyDescent="0.3">
      <c r="A104" s="46" t="str">
        <f>'CONTRACTOR INPUT'!A104</f>
        <v>POLE</v>
      </c>
      <c r="B104" s="42" t="str">
        <f>'CONTRACTOR INPUT'!B104</f>
        <v>SAE00A</v>
      </c>
      <c r="C104" s="42" t="str">
        <f>'CONTRACTOR INPUT'!C104</f>
        <v>STRUCT ACC</v>
      </c>
      <c r="D104" s="42" t="str">
        <f>'CONTRACTOR INPUT'!D104</f>
        <v>Pole Inspection/Administration/Field Work - No EWO</v>
      </c>
      <c r="E104" s="42" t="str">
        <f>'CONTRACTOR INPUT'!E104</f>
        <v>PER POLE</v>
      </c>
      <c r="F104" s="23">
        <f>'CONTRACTOR INPUT'!F104</f>
        <v>0</v>
      </c>
      <c r="G104" s="60" t="str">
        <f t="shared" si="5"/>
        <v/>
      </c>
      <c r="I104" s="22">
        <f>'CONTRACTOR INPUT'!H104</f>
        <v>0</v>
      </c>
      <c r="K104" s="3">
        <f t="shared" si="9"/>
        <v>0</v>
      </c>
      <c r="L104" s="76" t="e">
        <f t="array" ref="L104">INDEX('INFO-P'!$G$2:$G$500,MATCH(1,($D$4='INFO-P'!$C$2:$C$500)*(B104='INFO-P'!$B$2:$B$500),0))</f>
        <v>#N/A</v>
      </c>
      <c r="M104" s="29">
        <f t="shared" si="8"/>
        <v>0</v>
      </c>
    </row>
    <row r="105" spans="1:13" ht="15.75" thickBot="1" x14ac:dyDescent="0.3">
      <c r="A105" s="46" t="str">
        <f>'CONTRACTOR INPUT'!A105</f>
        <v>POLE</v>
      </c>
      <c r="B105" s="42" t="str">
        <f>'CONTRACTOR INPUT'!B105</f>
        <v>SAE02A</v>
      </c>
      <c r="C105" s="42" t="str">
        <f>'CONTRACTOR INPUT'!C105</f>
        <v>STRUCT ACC</v>
      </c>
      <c r="D105" s="42" t="str">
        <f>'CONTRACTOR INPUT'!D105</f>
        <v>Make Ready/Pole Initial Application Processing</v>
      </c>
      <c r="E105" s="42" t="str">
        <f>'CONTRACTOR INPUT'!E105</f>
        <v>EACH</v>
      </c>
      <c r="F105" s="23">
        <f>'CONTRACTOR INPUT'!F105</f>
        <v>0</v>
      </c>
      <c r="G105" s="60" t="str">
        <f t="shared" si="5"/>
        <v/>
      </c>
      <c r="I105" s="22">
        <f>'CONTRACTOR INPUT'!H105</f>
        <v>0</v>
      </c>
      <c r="K105" s="3">
        <f t="shared" si="9"/>
        <v>0</v>
      </c>
      <c r="L105" s="76" t="e">
        <f t="array" ref="L105">INDEX('INFO-P'!$G$2:$G$500,MATCH(1,($D$4='INFO-P'!$C$2:$C$500)*(B105='INFO-P'!$B$2:$B$500),0))</f>
        <v>#N/A</v>
      </c>
      <c r="M105" s="29">
        <f t="shared" si="8"/>
        <v>0</v>
      </c>
    </row>
    <row r="106" spans="1:13" ht="15.75" thickBot="1" x14ac:dyDescent="0.3">
      <c r="A106" s="46" t="str">
        <f>'CONTRACTOR INPUT'!A106</f>
        <v>POLE</v>
      </c>
      <c r="B106" s="42" t="str">
        <f>'CONTRACTOR INPUT'!B106</f>
        <v>SAE04A</v>
      </c>
      <c r="C106" s="42" t="str">
        <f>'CONTRACTOR INPUT'!C106</f>
        <v>STRUCT ACC</v>
      </c>
      <c r="D106" s="42" t="str">
        <f>'CONTRACTOR INPUT'!D106</f>
        <v>Make Ready/Pole Additional Pole</v>
      </c>
      <c r="E106" s="42" t="str">
        <f>'CONTRACTOR INPUT'!E106</f>
        <v>PER POLE</v>
      </c>
      <c r="F106" s="23">
        <f>'CONTRACTOR INPUT'!F106</f>
        <v>0</v>
      </c>
      <c r="G106" s="60" t="str">
        <f t="shared" si="5"/>
        <v/>
      </c>
      <c r="I106" s="22">
        <f>'CONTRACTOR INPUT'!H106</f>
        <v>0</v>
      </c>
      <c r="K106" s="3">
        <f t="shared" si="9"/>
        <v>0</v>
      </c>
      <c r="L106" s="76" t="e">
        <f t="array" ref="L106">INDEX('INFO-P'!$G$2:$G$500,MATCH(1,($D$4='INFO-P'!$C$2:$C$500)*(B106='INFO-P'!$B$2:$B$500),0))</f>
        <v>#N/A</v>
      </c>
      <c r="M106" s="29">
        <f t="shared" si="8"/>
        <v>0</v>
      </c>
    </row>
    <row r="107" spans="1:13" ht="15.75" thickBot="1" x14ac:dyDescent="0.3">
      <c r="A107" s="46" t="str">
        <f>'CONTRACTOR INPUT'!A107</f>
        <v>CIVIC</v>
      </c>
      <c r="B107" s="42" t="str">
        <f>'CONTRACTOR INPUT'!B107</f>
        <v>SUG00A</v>
      </c>
      <c r="C107" s="42" t="str">
        <f>'CONTRACTOR INPUT'!C107</f>
        <v>STRUCT ACC</v>
      </c>
      <c r="D107" s="42" t="str">
        <f>'CONTRACTOR INPUT'!D107</f>
        <v>Structure Access – Underground Field Survey</v>
      </c>
      <c r="E107" s="42" t="str">
        <f>'CONTRACTOR INPUT'!E107</f>
        <v>PER MH</v>
      </c>
      <c r="F107" s="23">
        <f>'CONTRACTOR INPUT'!F107</f>
        <v>0</v>
      </c>
      <c r="G107" s="60" t="str">
        <f t="shared" si="5"/>
        <v/>
      </c>
      <c r="I107" s="22">
        <f>'CONTRACTOR INPUT'!H107</f>
        <v>0</v>
      </c>
      <c r="K107" s="3">
        <f t="shared" si="9"/>
        <v>0</v>
      </c>
      <c r="L107" s="76" t="e">
        <f t="array" ref="L107">INDEX('INFO-P'!$G$2:$G$500,MATCH(1,($D$4='INFO-P'!$C$2:$C$500)*(B107='INFO-P'!$B$2:$B$500),0))</f>
        <v>#N/A</v>
      </c>
      <c r="M107" s="29">
        <f t="shared" si="8"/>
        <v>0</v>
      </c>
    </row>
    <row r="108" spans="1:13" ht="15.75" thickBot="1" x14ac:dyDescent="0.3">
      <c r="A108" s="46" t="str">
        <f>'CONTRACTOR INPUT'!A108</f>
        <v>CIVIC</v>
      </c>
      <c r="B108" s="42" t="str">
        <f>'CONTRACTOR INPUT'!B108</f>
        <v>SUG02A</v>
      </c>
      <c r="C108" s="42" t="str">
        <f>'CONTRACTOR INPUT'!C108</f>
        <v>STRUCT ACC</v>
      </c>
      <c r="D108" s="42" t="str">
        <f>'CONTRACTOR INPUT'!D108</f>
        <v>Structure Access Initial Review – Underground Adder</v>
      </c>
      <c r="E108" s="42" t="str">
        <f>'CONTRACTOR INPUT'!E108</f>
        <v>PER REQUEST</v>
      </c>
      <c r="F108" s="23">
        <f>'CONTRACTOR INPUT'!F108</f>
        <v>0</v>
      </c>
      <c r="G108" s="60" t="str">
        <f t="shared" si="5"/>
        <v/>
      </c>
      <c r="I108" s="22">
        <f>'CONTRACTOR INPUT'!H108</f>
        <v>0</v>
      </c>
      <c r="K108" s="3">
        <f t="shared" si="9"/>
        <v>0</v>
      </c>
      <c r="L108" s="76" t="e">
        <f t="array" ref="L108">INDEX('INFO-P'!$G$2:$G$500,MATCH(1,($D$4='INFO-P'!$C$2:$C$500)*(B108='INFO-P'!$B$2:$B$500),0))</f>
        <v>#N/A</v>
      </c>
      <c r="M108" s="29">
        <f t="shared" si="8"/>
        <v>0</v>
      </c>
    </row>
    <row r="109" spans="1:13" ht="15.75" thickBot="1" x14ac:dyDescent="0.3">
      <c r="A109" s="46" t="str">
        <f>'CONTRACTOR INPUT'!A109</f>
        <v>CIVIC</v>
      </c>
      <c r="B109" s="42" t="str">
        <f>'CONTRACTOR INPUT'!B109</f>
        <v>SUG02A</v>
      </c>
      <c r="C109" s="42" t="str">
        <f>'CONTRACTOR INPUT'!C109</f>
        <v>STRUCT ACC</v>
      </c>
      <c r="D109" s="42" t="str">
        <f>'CONTRACTOR INPUT'!D109</f>
        <v>Structure Access - In Process Underground Inspection</v>
      </c>
      <c r="E109" s="42" t="str">
        <f>'CONTRACTOR INPUT'!E109</f>
        <v>PER MH</v>
      </c>
      <c r="F109" s="23">
        <f>'CONTRACTOR INPUT'!F109</f>
        <v>0</v>
      </c>
      <c r="G109" s="60" t="str">
        <f t="shared" si="5"/>
        <v/>
      </c>
      <c r="I109" s="22">
        <f>'CONTRACTOR INPUT'!H109</f>
        <v>0</v>
      </c>
      <c r="K109" s="3">
        <f t="shared" si="9"/>
        <v>0</v>
      </c>
      <c r="L109" s="76" t="e">
        <f t="array" ref="L109">INDEX('INFO-P'!$G$2:$G$500,MATCH(1,($D$4='INFO-P'!$C$2:$C$500)*(B109='INFO-P'!$B$2:$B$500),0))</f>
        <v>#N/A</v>
      </c>
      <c r="M109" s="29">
        <f t="shared" si="8"/>
        <v>0</v>
      </c>
    </row>
    <row r="110" spans="1:13" ht="15.75" thickBot="1" x14ac:dyDescent="0.3">
      <c r="A110" s="46" t="str">
        <f>'CONTRACTOR INPUT'!A110</f>
        <v>ROW</v>
      </c>
      <c r="B110" s="42" t="str">
        <f>'CONTRACTOR INPUT'!B110</f>
        <v>ROW00A</v>
      </c>
      <c r="C110" s="42" t="str">
        <f>'CONTRACTOR INPUT'!C110</f>
        <v>ROW</v>
      </c>
      <c r="D110" s="42" t="str">
        <f>'CONTRACTOR INPUT'!D110</f>
        <v>Resolve Customer Issues associated with ROW</v>
      </c>
      <c r="E110" s="42" t="str">
        <f>'CONTRACTOR INPUT'!E110</f>
        <v>EACH</v>
      </c>
      <c r="F110" s="23">
        <f>'CONTRACTOR INPUT'!F110</f>
        <v>0</v>
      </c>
      <c r="G110" s="60" t="str">
        <f t="shared" si="5"/>
        <v/>
      </c>
      <c r="I110" s="22">
        <f>'CONTRACTOR INPUT'!H110</f>
        <v>0</v>
      </c>
      <c r="K110" s="3">
        <f t="shared" si="9"/>
        <v>0</v>
      </c>
      <c r="L110" s="76" t="e">
        <f t="array" ref="L110">INDEX('INFO-P'!$G$2:$G$500,MATCH(1,($D$4='INFO-P'!$C$2:$C$500)*(B110='INFO-P'!$B$2:$B$500),0))</f>
        <v>#N/A</v>
      </c>
      <c r="M110" s="29">
        <f t="shared" si="8"/>
        <v>0</v>
      </c>
    </row>
    <row r="111" spans="1:13" ht="15.75" thickBot="1" x14ac:dyDescent="0.3">
      <c r="A111" s="46" t="str">
        <f>'CONTRACTOR INPUT'!A111</f>
        <v>ROW</v>
      </c>
      <c r="B111" s="42" t="str">
        <f>'CONTRACTOR INPUT'!B111</f>
        <v>ROW02A</v>
      </c>
      <c r="C111" s="42" t="str">
        <f>'CONTRACTOR INPUT'!C111</f>
        <v>ROW</v>
      </c>
      <c r="D111" s="42" t="str">
        <f>'CONTRACTOR INPUT'!D111</f>
        <v>EASEMENT ACQUISITION - STRIP EASEMENT - ALL INCLUSIVE - SURVEY</v>
      </c>
      <c r="E111" s="42" t="str">
        <f>'CONTRACTOR INPUT'!E111</f>
        <v>EACH</v>
      </c>
      <c r="F111" s="23">
        <f>'CONTRACTOR INPUT'!F111</f>
        <v>0</v>
      </c>
      <c r="G111" s="60" t="str">
        <f t="shared" si="5"/>
        <v/>
      </c>
      <c r="I111" s="22">
        <f>'CONTRACTOR INPUT'!H111</f>
        <v>0</v>
      </c>
      <c r="K111" s="3">
        <f t="shared" si="9"/>
        <v>0</v>
      </c>
      <c r="L111" s="76" t="e">
        <f t="array" ref="L111">INDEX('INFO-P'!$G$2:$G$500,MATCH(1,($D$4='INFO-P'!$C$2:$C$500)*(B111='INFO-P'!$B$2:$B$500),0))</f>
        <v>#N/A</v>
      </c>
      <c r="M111" s="29">
        <f t="shared" si="8"/>
        <v>0</v>
      </c>
    </row>
    <row r="112" spans="1:13" ht="15.75" thickBot="1" x14ac:dyDescent="0.3">
      <c r="A112" s="46" t="str">
        <f>'CONTRACTOR INPUT'!A112</f>
        <v>ROW</v>
      </c>
      <c r="B112" s="42" t="str">
        <f>'CONTRACTOR INPUT'!B112</f>
        <v>ROW04A</v>
      </c>
      <c r="C112" s="42" t="str">
        <f>'CONTRACTOR INPUT'!C112</f>
        <v>ROW</v>
      </c>
      <c r="D112" s="42" t="str">
        <f>'CONTRACTOR INPUT'!D112</f>
        <v>EASEMENT ACQUISITION - Strip Easement - ALL INCLUSIVE –
NO SURVEY REQUIRED</v>
      </c>
      <c r="E112" s="42" t="str">
        <f>'CONTRACTOR INPUT'!E112</f>
        <v>EACH</v>
      </c>
      <c r="F112" s="23">
        <f>'CONTRACTOR INPUT'!F112</f>
        <v>0</v>
      </c>
      <c r="G112" s="60" t="str">
        <f t="shared" si="5"/>
        <v/>
      </c>
      <c r="I112" s="22">
        <f>'CONTRACTOR INPUT'!H112</f>
        <v>0</v>
      </c>
      <c r="K112" s="3">
        <f t="shared" si="9"/>
        <v>0</v>
      </c>
      <c r="L112" s="76" t="e">
        <f t="array" ref="L112">INDEX('INFO-P'!$G$2:$G$500,MATCH(1,($D$4='INFO-P'!$C$2:$C$500)*(B112='INFO-P'!$B$2:$B$500),0))</f>
        <v>#N/A</v>
      </c>
      <c r="M112" s="29">
        <f t="shared" si="8"/>
        <v>0</v>
      </c>
    </row>
    <row r="113" spans="1:13" ht="15.75" thickBot="1" x14ac:dyDescent="0.3">
      <c r="A113" s="46" t="str">
        <f>'CONTRACTOR INPUT'!A113</f>
        <v>ROW</v>
      </c>
      <c r="B113" s="42" t="str">
        <f>'CONTRACTOR INPUT'!B113</f>
        <v>ROW06A</v>
      </c>
      <c r="C113" s="42" t="str">
        <f>'CONTRACTOR INPUT'!C113</f>
        <v>ROW</v>
      </c>
      <c r="D113" s="42" t="str">
        <f>'CONTRACTOR INPUT'!D113</f>
        <v>Legal Description - Easement Survey Exhibit - All Inclusive - No staking</v>
      </c>
      <c r="E113" s="42" t="str">
        <f>'CONTRACTOR INPUT'!E113</f>
        <v>EACH</v>
      </c>
      <c r="F113" s="23">
        <f>'CONTRACTOR INPUT'!F113</f>
        <v>0</v>
      </c>
      <c r="G113" s="60" t="str">
        <f t="shared" si="5"/>
        <v/>
      </c>
      <c r="I113" s="22">
        <f>'CONTRACTOR INPUT'!H113</f>
        <v>0</v>
      </c>
      <c r="K113" s="3">
        <f t="shared" si="9"/>
        <v>0</v>
      </c>
      <c r="L113" s="76" t="e">
        <f t="array" ref="L113">INDEX('INFO-P'!$G$2:$G$500,MATCH(1,($D$4='INFO-P'!$C$2:$C$500)*(B113='INFO-P'!$B$2:$B$500),0))</f>
        <v>#N/A</v>
      </c>
      <c r="M113" s="29">
        <f t="shared" si="8"/>
        <v>0</v>
      </c>
    </row>
    <row r="114" spans="1:13" ht="15.75" thickBot="1" x14ac:dyDescent="0.3">
      <c r="A114" s="46" t="str">
        <f>'CONTRACTOR INPUT'!A114</f>
        <v>ROW</v>
      </c>
      <c r="B114" s="42" t="str">
        <f>'CONTRACTOR INPUT'!B114</f>
        <v>ROW08A</v>
      </c>
      <c r="C114" s="42" t="str">
        <f>'CONTRACTOR INPUT'!C114</f>
        <v>ROW</v>
      </c>
      <c r="D114" s="42" t="str">
        <f>'CONTRACTOR INPUT'!D114</f>
        <v>Legal Description - Easement Survey Exhibit - Including Stake/Pin with Certified Surveyor Stamp</v>
      </c>
      <c r="E114" s="42" t="str">
        <f>'CONTRACTOR INPUT'!E114</f>
        <v>EACH</v>
      </c>
      <c r="F114" s="23">
        <f>'CONTRACTOR INPUT'!F114</f>
        <v>0</v>
      </c>
      <c r="G114" s="60" t="str">
        <f t="shared" si="5"/>
        <v/>
      </c>
      <c r="I114" s="22">
        <f>'CONTRACTOR INPUT'!H114</f>
        <v>0</v>
      </c>
      <c r="K114" s="3">
        <f t="shared" si="9"/>
        <v>0</v>
      </c>
      <c r="L114" s="76" t="e">
        <f t="array" ref="L114">INDEX('INFO-P'!$G$2:$G$500,MATCH(1,($D$4='INFO-P'!$C$2:$C$500)*(B114='INFO-P'!$B$2:$B$500),0))</f>
        <v>#N/A</v>
      </c>
      <c r="M114" s="29">
        <f t="shared" si="8"/>
        <v>0</v>
      </c>
    </row>
    <row r="115" spans="1:13" ht="15.75" thickBot="1" x14ac:dyDescent="0.3">
      <c r="A115" s="46" t="str">
        <f>'CONTRACTOR INPUT'!A115</f>
        <v>ROW</v>
      </c>
      <c r="B115" s="42" t="str">
        <f>'CONTRACTOR INPUT'!B115</f>
        <v>ROW10A</v>
      </c>
      <c r="C115" s="42" t="str">
        <f>'CONTRACTOR INPUT'!C115</f>
        <v>ROW</v>
      </c>
      <c r="D115" s="42" t="str">
        <f>'CONTRACTOR INPUT'!D115</f>
        <v>Chain of Title Search Per Single Property</v>
      </c>
      <c r="E115" s="42" t="str">
        <f>'CONTRACTOR INPUT'!E115</f>
        <v>EACH</v>
      </c>
      <c r="F115" s="23">
        <f>'CONTRACTOR INPUT'!F115</f>
        <v>0</v>
      </c>
      <c r="G115" s="60" t="str">
        <f t="shared" si="5"/>
        <v/>
      </c>
      <c r="I115" s="22">
        <f>'CONTRACTOR INPUT'!H115</f>
        <v>0</v>
      </c>
      <c r="K115" s="3">
        <f t="shared" si="9"/>
        <v>0</v>
      </c>
      <c r="L115" s="76" t="e">
        <f t="array" ref="L115">INDEX('INFO-P'!$G$2:$G$500,MATCH(1,($D$4='INFO-P'!$C$2:$C$500)*(B115='INFO-P'!$B$2:$B$500),0))</f>
        <v>#N/A</v>
      </c>
      <c r="M115" s="29">
        <f t="shared" si="8"/>
        <v>0</v>
      </c>
    </row>
    <row r="116" spans="1:13" ht="15.75" thickBot="1" x14ac:dyDescent="0.3">
      <c r="A116" s="46" t="str">
        <f>'CONTRACTOR INPUT'!A116</f>
        <v>ROW</v>
      </c>
      <c r="B116" s="42" t="str">
        <f>'CONTRACTOR INPUT'!B116</f>
        <v>ROW12A</v>
      </c>
      <c r="C116" s="42" t="str">
        <f>'CONTRACTOR INPUT'!C116</f>
        <v>ROW</v>
      </c>
      <c r="D116" s="42" t="str">
        <f>'CONTRACTOR INPUT'!D116</f>
        <v>Title Search For Last Deed - Per Single Property</v>
      </c>
      <c r="E116" s="42" t="str">
        <f>'CONTRACTOR INPUT'!E116</f>
        <v>EACH</v>
      </c>
      <c r="F116" s="23">
        <f>'CONTRACTOR INPUT'!F116</f>
        <v>0</v>
      </c>
      <c r="G116" s="60" t="str">
        <f t="shared" si="5"/>
        <v/>
      </c>
      <c r="I116" s="22">
        <f>'CONTRACTOR INPUT'!H116</f>
        <v>0</v>
      </c>
      <c r="K116" s="3">
        <f t="shared" si="9"/>
        <v>0</v>
      </c>
      <c r="L116" s="76" t="e">
        <f t="array" ref="L116">INDEX('INFO-P'!$G$2:$G$500,MATCH(1,($D$4='INFO-P'!$C$2:$C$500)*(B116='INFO-P'!$B$2:$B$500),0))</f>
        <v>#N/A</v>
      </c>
      <c r="M116" s="29">
        <f t="shared" si="8"/>
        <v>0</v>
      </c>
    </row>
    <row r="117" spans="1:13" ht="15.75" thickBot="1" x14ac:dyDescent="0.3">
      <c r="A117" s="46" t="str">
        <f>'CONTRACTOR INPUT'!A117</f>
        <v>ROW</v>
      </c>
      <c r="B117" s="42" t="str">
        <f>'CONTRACTOR INPUT'!B117</f>
        <v>ROW14A</v>
      </c>
      <c r="C117" s="42" t="str">
        <f>'CONTRACTOR INPUT'!C117</f>
        <v>ROW</v>
      </c>
      <c r="D117" s="42" t="str">
        <f>'CONTRACTOR INPUT'!D117</f>
        <v>Easement Acquisition</v>
      </c>
      <c r="E117" s="42" t="str">
        <f>'CONTRACTOR INPUT'!E117</f>
        <v>EACH</v>
      </c>
      <c r="F117" s="23">
        <f>'CONTRACTOR INPUT'!F117</f>
        <v>0</v>
      </c>
      <c r="G117" s="60" t="str">
        <f t="shared" si="5"/>
        <v/>
      </c>
      <c r="I117" s="22">
        <f>'CONTRACTOR INPUT'!H117</f>
        <v>0</v>
      </c>
      <c r="K117" s="3">
        <f t="shared" si="9"/>
        <v>0</v>
      </c>
      <c r="L117" s="76" t="e">
        <f t="array" ref="L117">INDEX('INFO-P'!$G$2:$G$500,MATCH(1,($D$4='INFO-P'!$C$2:$C$500)*(B117='INFO-P'!$B$2:$B$500),0))</f>
        <v>#N/A</v>
      </c>
      <c r="M117" s="29">
        <f t="shared" si="8"/>
        <v>0</v>
      </c>
    </row>
    <row r="118" spans="1:13" ht="15.75" thickBot="1" x14ac:dyDescent="0.3">
      <c r="A118" s="46" t="str">
        <f>'CONTRACTOR INPUT'!A118</f>
        <v>ROW</v>
      </c>
      <c r="B118" s="42" t="str">
        <f>'CONTRACTOR INPUT'!B118</f>
        <v>ROW16A</v>
      </c>
      <c r="C118" s="42" t="str">
        <f>'CONTRACTOR INPUT'!C118</f>
        <v>ROW</v>
      </c>
      <c r="D118" s="42" t="str">
        <f>'CONTRACTOR INPUT'!D118</f>
        <v>STAKE EASEMENT SITE - NO DRAWING OF WORK COMPLETED REQUIRED.</v>
      </c>
      <c r="E118" s="42" t="str">
        <f>'CONTRACTOR INPUT'!E118</f>
        <v>EACH</v>
      </c>
      <c r="F118" s="23">
        <f>'CONTRACTOR INPUT'!F118</f>
        <v>0</v>
      </c>
      <c r="G118" s="60" t="str">
        <f t="shared" si="5"/>
        <v/>
      </c>
      <c r="I118" s="22">
        <f>'CONTRACTOR INPUT'!H118</f>
        <v>0</v>
      </c>
      <c r="K118" s="3">
        <f t="shared" si="9"/>
        <v>0</v>
      </c>
      <c r="L118" s="76" t="e">
        <f t="array" ref="L118">INDEX('INFO-P'!$G$2:$G$500,MATCH(1,($D$4='INFO-P'!$C$2:$C$500)*(B118='INFO-P'!$B$2:$B$500),0))</f>
        <v>#N/A</v>
      </c>
      <c r="M118" s="29">
        <f t="shared" si="8"/>
        <v>0</v>
      </c>
    </row>
    <row r="119" spans="1:13" ht="15.75" thickBot="1" x14ac:dyDescent="0.3">
      <c r="A119" s="46" t="str">
        <f>'CONTRACTOR INPUT'!A119</f>
        <v>ROW</v>
      </c>
      <c r="B119" s="42" t="str">
        <f>'CONTRACTOR INPUT'!B119</f>
        <v>ROW18A</v>
      </c>
      <c r="C119" s="42" t="str">
        <f>'CONTRACTOR INPUT'!C119</f>
        <v>ROW</v>
      </c>
      <c r="D119" s="42" t="str">
        <f>'CONTRACTOR INPUT'!D119</f>
        <v>STAKE EASEMENT SITE - PROVIDE DRAWING OF WORK COMPLETED</v>
      </c>
      <c r="E119" s="42" t="str">
        <f>'CONTRACTOR INPUT'!E119</f>
        <v>EACH</v>
      </c>
      <c r="F119" s="23">
        <f>'CONTRACTOR INPUT'!F119</f>
        <v>0</v>
      </c>
      <c r="G119" s="60" t="str">
        <f t="shared" si="5"/>
        <v/>
      </c>
      <c r="I119" s="22">
        <f>'CONTRACTOR INPUT'!H119</f>
        <v>0</v>
      </c>
      <c r="K119" s="3">
        <f t="shared" si="9"/>
        <v>0</v>
      </c>
      <c r="L119" s="76" t="e">
        <f t="array" ref="L119">INDEX('INFO-P'!$G$2:$G$500,MATCH(1,($D$4='INFO-P'!$C$2:$C$500)*(B119='INFO-P'!$B$2:$B$500),0))</f>
        <v>#N/A</v>
      </c>
      <c r="M119" s="29">
        <f t="shared" si="8"/>
        <v>0</v>
      </c>
    </row>
    <row r="120" spans="1:13" ht="15.75" thickBot="1" x14ac:dyDescent="0.3">
      <c r="A120" s="46" t="str">
        <f>'CONTRACTOR INPUT'!A120</f>
        <v>ROW</v>
      </c>
      <c r="B120" s="42" t="str">
        <f>'CONTRACTOR INPUT'!B120</f>
        <v>ROW20A</v>
      </c>
      <c r="C120" s="42" t="str">
        <f>'CONTRACTOR INPUT'!C120</f>
        <v>ROW</v>
      </c>
      <c r="D120" s="42" t="str">
        <f>'CONTRACTOR INPUT'!D120</f>
        <v>STAKE ROW/PROPERTY LINE/PUE/STRIP-LEGAL DESCR NO DRAWING REQ</v>
      </c>
      <c r="E120" s="42" t="str">
        <f>'CONTRACTOR INPUT'!E120</f>
        <v>PROJECT</v>
      </c>
      <c r="F120" s="23">
        <f>'CONTRACTOR INPUT'!F120</f>
        <v>0</v>
      </c>
      <c r="G120" s="60" t="str">
        <f t="shared" si="5"/>
        <v/>
      </c>
      <c r="I120" s="22">
        <f>'CONTRACTOR INPUT'!H120</f>
        <v>0</v>
      </c>
      <c r="K120" s="3">
        <f t="shared" si="9"/>
        <v>0</v>
      </c>
      <c r="L120" s="76" t="e">
        <f t="array" ref="L120">INDEX('INFO-P'!$G$2:$G$500,MATCH(1,($D$4='INFO-P'!$C$2:$C$500)*(B120='INFO-P'!$B$2:$B$500),0))</f>
        <v>#N/A</v>
      </c>
      <c r="M120" s="29">
        <f t="shared" si="8"/>
        <v>0</v>
      </c>
    </row>
    <row r="121" spans="1:13" ht="15.75" thickBot="1" x14ac:dyDescent="0.3">
      <c r="A121" s="46" t="str">
        <f>'CONTRACTOR INPUT'!A121</f>
        <v>ROW</v>
      </c>
      <c r="B121" s="42" t="str">
        <f>'CONTRACTOR INPUT'!B121</f>
        <v>ROW22A</v>
      </c>
      <c r="C121" s="42" t="str">
        <f>'CONTRACTOR INPUT'!C121</f>
        <v>ROW</v>
      </c>
      <c r="D121" s="42" t="str">
        <f>'CONTRACTOR INPUT'!D121</f>
        <v>STAKE ROW/PROP LINE/PUE/STRIP-LEGAL DESCR PROVIDE WORK DRAWING</v>
      </c>
      <c r="E121" s="42" t="str">
        <f>'CONTRACTOR INPUT'!E121</f>
        <v>PROJECT</v>
      </c>
      <c r="F121" s="23">
        <f>'CONTRACTOR INPUT'!F121</f>
        <v>0</v>
      </c>
      <c r="G121" s="60" t="str">
        <f t="shared" si="5"/>
        <v/>
      </c>
      <c r="I121" s="22">
        <f>'CONTRACTOR INPUT'!H121</f>
        <v>0</v>
      </c>
      <c r="K121" s="3">
        <f t="shared" si="9"/>
        <v>0</v>
      </c>
      <c r="L121" s="76" t="e">
        <f t="array" ref="L121">INDEX('INFO-P'!$G$2:$G$500,MATCH(1,($D$4='INFO-P'!$C$2:$C$500)*(B121='INFO-P'!$B$2:$B$500),0))</f>
        <v>#N/A</v>
      </c>
      <c r="M121" s="29">
        <f t="shared" si="8"/>
        <v>0</v>
      </c>
    </row>
    <row r="122" spans="1:13" ht="15.75" thickBot="1" x14ac:dyDescent="0.3">
      <c r="A122" s="46" t="str">
        <f>'CONTRACTOR INPUT'!A122</f>
        <v>ROW</v>
      </c>
      <c r="B122" s="42" t="str">
        <f>'CONTRACTOR INPUT'!B122</f>
        <v>ROW24A</v>
      </c>
      <c r="C122" s="42" t="str">
        <f>'CONTRACTOR INPUT'!C122</f>
        <v>ROW</v>
      </c>
      <c r="D122" s="42" t="str">
        <f>'CONTRACTOR INPUT'!D122</f>
        <v>ADDER - STAKING - STAKE ROW/PROPERTY LINE/PUE/STRIP EASEMENT – LEGAL DESCRIPTION</v>
      </c>
      <c r="E122" s="42" t="str">
        <f>'CONTRACTOR INPUT'!E122</f>
        <v>100 FT</v>
      </c>
      <c r="F122" s="23">
        <f>'CONTRACTOR INPUT'!F122</f>
        <v>0</v>
      </c>
      <c r="G122" s="60" t="str">
        <f t="shared" si="5"/>
        <v/>
      </c>
      <c r="I122" s="22">
        <f>'CONTRACTOR INPUT'!H122</f>
        <v>0</v>
      </c>
      <c r="K122" s="3">
        <f t="shared" si="9"/>
        <v>0</v>
      </c>
      <c r="L122" s="76" t="e">
        <f t="array" ref="L122">INDEX('INFO-P'!$G$2:$G$500,MATCH(1,($D$4='INFO-P'!$C$2:$C$500)*(B122='INFO-P'!$B$2:$B$500),0))</f>
        <v>#N/A</v>
      </c>
      <c r="M122" s="29">
        <f t="shared" si="8"/>
        <v>0</v>
      </c>
    </row>
    <row r="123" spans="1:13" ht="15.75" thickBot="1" x14ac:dyDescent="0.3">
      <c r="A123" s="46" t="str">
        <f>'CONTRACTOR INPUT'!A123</f>
        <v>ROW</v>
      </c>
      <c r="B123" s="42" t="str">
        <f>'CONTRACTOR INPUT'!B123</f>
        <v>ROW26A</v>
      </c>
      <c r="C123" s="42" t="str">
        <f>'CONTRACTOR INPUT'!C123</f>
        <v>ROW</v>
      </c>
      <c r="D123" s="42" t="str">
        <f>'CONTRACTOR INPUT'!D123</f>
        <v>STAKING-ADD EXISTING AND PROPOSED ELEVATION MARKS TO STAKES</v>
      </c>
      <c r="E123" s="42" t="str">
        <f>'CONTRACTOR INPUT'!E123</f>
        <v>STAKE</v>
      </c>
      <c r="F123" s="23">
        <f>'CONTRACTOR INPUT'!F123</f>
        <v>0</v>
      </c>
      <c r="G123" s="60" t="str">
        <f t="shared" si="5"/>
        <v/>
      </c>
      <c r="I123" s="22">
        <f>'CONTRACTOR INPUT'!H123</f>
        <v>0</v>
      </c>
      <c r="K123" s="3">
        <f t="shared" si="9"/>
        <v>0</v>
      </c>
      <c r="L123" s="76" t="e">
        <f t="array" ref="L123">INDEX('INFO-P'!$G$2:$G$500,MATCH(1,($D$4='INFO-P'!$C$2:$C$500)*(B123='INFO-P'!$B$2:$B$500),0))</f>
        <v>#N/A</v>
      </c>
      <c r="M123" s="29">
        <f t="shared" si="8"/>
        <v>0</v>
      </c>
    </row>
    <row r="124" spans="1:13" ht="15.75" thickBot="1" x14ac:dyDescent="0.3">
      <c r="A124" s="46" t="str">
        <f>'CONTRACTOR INPUT'!A124</f>
        <v>ROW</v>
      </c>
      <c r="B124" s="42" t="str">
        <f>'CONTRACTOR INPUT'!B124</f>
        <v>ROW28A</v>
      </c>
      <c r="C124" s="42" t="str">
        <f>'CONTRACTOR INPUT'!C124</f>
        <v>ROW</v>
      </c>
      <c r="D124" s="42" t="str">
        <f>'CONTRACTOR INPUT'!D124</f>
        <v>SITE PLAN UP TO 1000 SQ FT</v>
      </c>
      <c r="E124" s="42" t="str">
        <f>'CONTRACTOR INPUT'!E124</f>
        <v xml:space="preserve">SITE PLAN </v>
      </c>
      <c r="F124" s="23">
        <f>'CONTRACTOR INPUT'!F124</f>
        <v>0</v>
      </c>
      <c r="G124" s="60" t="str">
        <f t="shared" si="5"/>
        <v/>
      </c>
      <c r="I124" s="22">
        <f>'CONTRACTOR INPUT'!H124</f>
        <v>0</v>
      </c>
      <c r="K124" s="3">
        <f t="shared" si="9"/>
        <v>0</v>
      </c>
      <c r="L124" s="76" t="e">
        <f t="array" ref="L124">INDEX('INFO-P'!$G$2:$G$500,MATCH(1,($D$4='INFO-P'!$C$2:$C$500)*(B124='INFO-P'!$B$2:$B$500),0))</f>
        <v>#N/A</v>
      </c>
      <c r="M124" s="29">
        <f t="shared" si="8"/>
        <v>0</v>
      </c>
    </row>
    <row r="125" spans="1:13" ht="15.75" thickBot="1" x14ac:dyDescent="0.3">
      <c r="A125" s="46" t="str">
        <f>'CONTRACTOR INPUT'!A125</f>
        <v>ROW</v>
      </c>
      <c r="B125" s="42" t="str">
        <f>'CONTRACTOR INPUT'!B125</f>
        <v>ROW30A</v>
      </c>
      <c r="C125" s="42" t="str">
        <f>'CONTRACTOR INPUT'!C125</f>
        <v>ROW</v>
      </c>
      <c r="D125" s="42" t="str">
        <f>'CONTRACTOR INPUT'!D125</f>
        <v>ADDER - SITE PLAN &gt; THAN 1000 SQ FT</v>
      </c>
      <c r="E125" s="42" t="str">
        <f>'CONTRACTOR INPUT'!E125</f>
        <v>SQ FT</v>
      </c>
      <c r="F125" s="23">
        <f>'CONTRACTOR INPUT'!F125</f>
        <v>0</v>
      </c>
      <c r="G125" s="60" t="str">
        <f t="shared" si="5"/>
        <v/>
      </c>
      <c r="I125" s="22">
        <f>'CONTRACTOR INPUT'!H125</f>
        <v>0</v>
      </c>
      <c r="K125" s="3">
        <f t="shared" si="9"/>
        <v>0</v>
      </c>
      <c r="L125" s="76" t="e">
        <f t="array" ref="L125">INDEX('INFO-P'!$G$2:$G$500,MATCH(1,($D$4='INFO-P'!$C$2:$C$500)*(B125='INFO-P'!$B$2:$B$500),0))</f>
        <v>#N/A</v>
      </c>
      <c r="M125" s="29">
        <f t="shared" si="8"/>
        <v>0</v>
      </c>
    </row>
    <row r="126" spans="1:13" ht="15.75" thickBot="1" x14ac:dyDescent="0.3">
      <c r="A126" s="46" t="str">
        <f>'CONTRACTOR INPUT'!A126</f>
        <v>ROW</v>
      </c>
      <c r="B126" s="42" t="str">
        <f>'CONTRACTOR INPUT'!B126</f>
        <v>ROW32A</v>
      </c>
      <c r="C126" s="42" t="str">
        <f>'CONTRACTOR INPUT'!C126</f>
        <v>ROW</v>
      </c>
      <c r="D126" s="42" t="str">
        <f>'CONTRACTOR INPUT'!D126</f>
        <v>POT HOLING - PROVIDE SURVEYOR TO DETERMINE ELEVATIONS OF FACILITIES IN POT HOLE.</v>
      </c>
      <c r="E126" s="42" t="str">
        <f>'CONTRACTOR INPUT'!E126</f>
        <v>EACH</v>
      </c>
      <c r="F126" s="23">
        <f>'CONTRACTOR INPUT'!F126</f>
        <v>0</v>
      </c>
      <c r="G126" s="60" t="str">
        <f t="shared" si="5"/>
        <v/>
      </c>
      <c r="I126" s="22">
        <f>'CONTRACTOR INPUT'!H126</f>
        <v>0</v>
      </c>
      <c r="K126" s="3">
        <f t="shared" si="9"/>
        <v>0</v>
      </c>
      <c r="L126" s="76" t="e">
        <f t="array" ref="L126">INDEX('INFO-P'!$G$2:$G$500,MATCH(1,($D$4='INFO-P'!$C$2:$C$500)*(B126='INFO-P'!$B$2:$B$500),0))</f>
        <v>#N/A</v>
      </c>
      <c r="M126" s="29">
        <f t="shared" si="8"/>
        <v>0</v>
      </c>
    </row>
    <row r="127" spans="1:13" ht="15.75" thickBot="1" x14ac:dyDescent="0.3">
      <c r="A127" s="46" t="str">
        <f>'CONTRACTOR INPUT'!A127</f>
        <v>CIVIC</v>
      </c>
      <c r="B127" s="42" t="str">
        <f>'CONTRACTOR INPUT'!B127</f>
        <v>LMD00A</v>
      </c>
      <c r="C127" s="42" t="str">
        <f>'CONTRACTOR INPUT'!C127</f>
        <v>LEGAL MAND</v>
      </c>
      <c r="D127" s="42" t="str">
        <f>'CONTRACTOR INPUT'!D127</f>
        <v>INITIAL SCOPING - UTILITY LEVEL B</v>
      </c>
      <c r="E127" s="42" t="str">
        <f>'CONTRACTOR INPUT'!E127</f>
        <v>FOOT</v>
      </c>
      <c r="F127" s="23">
        <f>'CONTRACTOR INPUT'!F127</f>
        <v>0</v>
      </c>
      <c r="G127" s="60" t="str">
        <f t="shared" si="5"/>
        <v/>
      </c>
      <c r="I127" s="22">
        <f>'CONTRACTOR INPUT'!H127</f>
        <v>0</v>
      </c>
      <c r="K127" s="3">
        <f t="shared" si="9"/>
        <v>0</v>
      </c>
      <c r="L127" s="76" t="e">
        <f t="array" ref="L127">INDEX('INFO-P'!$G$2:$G$500,MATCH(1,($D$4='INFO-P'!$C$2:$C$500)*(B127='INFO-P'!$B$2:$B$500),0))</f>
        <v>#N/A</v>
      </c>
      <c r="M127" s="29">
        <f t="shared" si="8"/>
        <v>0</v>
      </c>
    </row>
    <row r="128" spans="1:13" ht="15.75" thickBot="1" x14ac:dyDescent="0.3">
      <c r="A128" s="46" t="str">
        <f>'CONTRACTOR INPUT'!A128</f>
        <v>CIVIC</v>
      </c>
      <c r="B128" s="42" t="str">
        <f>'CONTRACTOR INPUT'!B128</f>
        <v>LMD02A</v>
      </c>
      <c r="C128" s="42" t="str">
        <f>'CONTRACTOR INPUT'!C128</f>
        <v>LEGAL MAND</v>
      </c>
      <c r="D128" s="42" t="str">
        <f>'CONTRACTOR INPUT'!D128</f>
        <v>INITIAL SCOPING - UTILITY LEVEL C</v>
      </c>
      <c r="E128" s="42" t="str">
        <f>'CONTRACTOR INPUT'!E128</f>
        <v>FOOT</v>
      </c>
      <c r="F128" s="23">
        <f>'CONTRACTOR INPUT'!F128</f>
        <v>0</v>
      </c>
      <c r="G128" s="60" t="str">
        <f t="shared" si="5"/>
        <v/>
      </c>
      <c r="I128" s="22">
        <f>'CONTRACTOR INPUT'!H128</f>
        <v>0</v>
      </c>
      <c r="K128" s="3">
        <f t="shared" si="9"/>
        <v>0</v>
      </c>
      <c r="L128" s="76" t="e">
        <f t="array" ref="L128">INDEX('INFO-P'!$G$2:$G$500,MATCH(1,($D$4='INFO-P'!$C$2:$C$500)*(B128='INFO-P'!$B$2:$B$500),0))</f>
        <v>#N/A</v>
      </c>
      <c r="M128" s="29">
        <f t="shared" si="8"/>
        <v>0</v>
      </c>
    </row>
    <row r="129" spans="1:13" ht="15.75" thickBot="1" x14ac:dyDescent="0.3">
      <c r="A129" s="46" t="str">
        <f>'CONTRACTOR INPUT'!A129</f>
        <v>CIVIC</v>
      </c>
      <c r="B129" s="42" t="str">
        <f>'CONTRACTOR INPUT'!B129</f>
        <v>LMD04A</v>
      </c>
      <c r="C129" s="42" t="str">
        <f>'CONTRACTOR INPUT'!C129</f>
        <v>LEGAL MAND</v>
      </c>
      <c r="D129" s="42" t="str">
        <f>'CONTRACTOR INPUT'!D129</f>
        <v>INITIAL SCOPING – UTILITY LEVEL D</v>
      </c>
      <c r="E129" s="42" t="str">
        <f>'CONTRACTOR INPUT'!E129</f>
        <v>FOOT</v>
      </c>
      <c r="F129" s="23">
        <f>'CONTRACTOR INPUT'!F129</f>
        <v>0</v>
      </c>
      <c r="G129" s="60" t="str">
        <f t="shared" si="5"/>
        <v/>
      </c>
      <c r="I129" s="22">
        <f>'CONTRACTOR INPUT'!H129</f>
        <v>0</v>
      </c>
      <c r="K129" s="3">
        <f t="shared" si="9"/>
        <v>0</v>
      </c>
      <c r="L129" s="76" t="e">
        <f t="array" ref="L129">INDEX('INFO-P'!$G$2:$G$500,MATCH(1,($D$4='INFO-P'!$C$2:$C$500)*(B129='INFO-P'!$B$2:$B$500),0))</f>
        <v>#N/A</v>
      </c>
      <c r="M129" s="29">
        <f t="shared" si="8"/>
        <v>0</v>
      </c>
    </row>
    <row r="130" spans="1:13" ht="15.75" thickBot="1" x14ac:dyDescent="0.3">
      <c r="A130" s="46" t="str">
        <f>'CONTRACTOR INPUT'!A130</f>
        <v>CIVIC</v>
      </c>
      <c r="B130" s="42" t="str">
        <f>'CONTRACTOR INPUT'!B130</f>
        <v>LMD06A</v>
      </c>
      <c r="C130" s="42" t="str">
        <f>'CONTRACTOR INPUT'!C130</f>
        <v>LEGAL MAND</v>
      </c>
      <c r="D130" s="42" t="str">
        <f>'CONTRACTOR INPUT'!D130</f>
        <v>PLAN REVIEW</v>
      </c>
      <c r="E130" s="42" t="str">
        <f>'CONTRACTOR INPUT'!E130</f>
        <v>PAGE</v>
      </c>
      <c r="F130" s="23">
        <f>'CONTRACTOR INPUT'!F130</f>
        <v>0</v>
      </c>
      <c r="G130" s="60" t="str">
        <f t="shared" si="5"/>
        <v/>
      </c>
      <c r="I130" s="22">
        <f>'CONTRACTOR INPUT'!H130</f>
        <v>0</v>
      </c>
      <c r="K130" s="3">
        <f t="shared" si="9"/>
        <v>0</v>
      </c>
      <c r="L130" s="76" t="e">
        <f t="array" ref="L130">INDEX('INFO-P'!$G$2:$G$500,MATCH(1,($D$4='INFO-P'!$C$2:$C$500)*(B130='INFO-P'!$B$2:$B$500),0))</f>
        <v>#N/A</v>
      </c>
      <c r="M130" s="29">
        <f t="shared" si="8"/>
        <v>0</v>
      </c>
    </row>
    <row r="131" spans="1:13" ht="15.75" thickBot="1" x14ac:dyDescent="0.3">
      <c r="A131" s="46" t="str">
        <f>'CONTRACTOR INPUT'!A131</f>
        <v>CIVIC</v>
      </c>
      <c r="B131" s="42" t="str">
        <f>'CONTRACTOR INPUT'!B131</f>
        <v>LMD08A</v>
      </c>
      <c r="C131" s="42" t="str">
        <f>'CONTRACTOR INPUT'!C131</f>
        <v>LEGAL MAND</v>
      </c>
      <c r="D131" s="42" t="str">
        <f>'CONTRACTOR INPUT'!D131</f>
        <v>POT HOLE DESIGN - UTILITY LEVEL A</v>
      </c>
      <c r="E131" s="42" t="str">
        <f>'CONTRACTOR INPUT'!E131</f>
        <v>HOLE</v>
      </c>
      <c r="F131" s="23">
        <f>'CONTRACTOR INPUT'!F131</f>
        <v>0</v>
      </c>
      <c r="G131" s="60" t="str">
        <f t="shared" si="5"/>
        <v/>
      </c>
      <c r="I131" s="22">
        <f>'CONTRACTOR INPUT'!H131</f>
        <v>0</v>
      </c>
      <c r="K131" s="3">
        <f t="shared" si="9"/>
        <v>0</v>
      </c>
      <c r="L131" s="76" t="e">
        <f t="array" ref="L131">INDEX('INFO-P'!$G$2:$G$500,MATCH(1,($D$4='INFO-P'!$C$2:$C$500)*(B131='INFO-P'!$B$2:$B$500),0))</f>
        <v>#N/A</v>
      </c>
      <c r="M131" s="29">
        <f t="shared" si="8"/>
        <v>0</v>
      </c>
    </row>
    <row r="132" spans="1:13" ht="15.75" thickBot="1" x14ac:dyDescent="0.3">
      <c r="A132" s="46" t="str">
        <f>'CONTRACTOR INPUT'!A132</f>
        <v>CIVIC</v>
      </c>
      <c r="B132" s="42" t="str">
        <f>'CONTRACTOR INPUT'!B132</f>
        <v>LMD10A</v>
      </c>
      <c r="C132" s="42" t="str">
        <f>'CONTRACTOR INPUT'!C132</f>
        <v>LEGAL MAND</v>
      </c>
      <c r="D132" s="42" t="str">
        <f>'CONTRACTOR INPUT'!D132</f>
        <v>NEGOTIATE CONFLICT RESOLUTIONS - UTILITY LEVEL B - PER CONFLICT LOCATION</v>
      </c>
      <c r="E132" s="42" t="str">
        <f>'CONTRACTOR INPUT'!E132</f>
        <v>LOCATION</v>
      </c>
      <c r="F132" s="23">
        <f>'CONTRACTOR INPUT'!F132</f>
        <v>0</v>
      </c>
      <c r="G132" s="60" t="str">
        <f t="shared" si="5"/>
        <v/>
      </c>
      <c r="I132" s="22">
        <f>'CONTRACTOR INPUT'!H132</f>
        <v>0</v>
      </c>
      <c r="K132" s="3">
        <f t="shared" si="9"/>
        <v>0</v>
      </c>
      <c r="L132" s="76" t="e">
        <f t="array" ref="L132">INDEX('INFO-P'!$G$2:$G$500,MATCH(1,($D$4='INFO-P'!$C$2:$C$500)*(B132='INFO-P'!$B$2:$B$500),0))</f>
        <v>#N/A</v>
      </c>
      <c r="M132" s="29">
        <f t="shared" si="8"/>
        <v>0</v>
      </c>
    </row>
    <row r="133" spans="1:13" ht="15.75" thickBot="1" x14ac:dyDescent="0.3">
      <c r="A133" s="46" t="str">
        <f>'CONTRACTOR INPUT'!A133</f>
        <v>CIVIC</v>
      </c>
      <c r="B133" s="42" t="str">
        <f>'CONTRACTOR INPUT'!B133</f>
        <v>LMD12A</v>
      </c>
      <c r="C133" s="42" t="str">
        <f>'CONTRACTOR INPUT'!C133</f>
        <v>LEGAL MAND</v>
      </c>
      <c r="D133" s="42" t="str">
        <f>'CONTRACTOR INPUT'!D133</f>
        <v>PLAN RECOMMENDATION/PARALLEL - PERPENDICULAR -PER CONFLICT LOCATION</v>
      </c>
      <c r="E133" s="42" t="str">
        <f>'CONTRACTOR INPUT'!E133</f>
        <v>LOCATION</v>
      </c>
      <c r="F133" s="23">
        <f>'CONTRACTOR INPUT'!F133</f>
        <v>0</v>
      </c>
      <c r="G133" s="60" t="str">
        <f t="shared" si="5"/>
        <v/>
      </c>
      <c r="I133" s="22">
        <f>'CONTRACTOR INPUT'!H133</f>
        <v>0</v>
      </c>
      <c r="K133" s="3">
        <f t="shared" si="9"/>
        <v>0</v>
      </c>
      <c r="L133" s="76" t="e">
        <f t="array" ref="L133">INDEX('INFO-P'!$G$2:$G$500,MATCH(1,($D$4='INFO-P'!$C$2:$C$500)*(B133='INFO-P'!$B$2:$B$500),0))</f>
        <v>#N/A</v>
      </c>
      <c r="M133" s="29">
        <f t="shared" si="8"/>
        <v>0</v>
      </c>
    </row>
    <row r="134" spans="1:13" ht="15.75" thickBot="1" x14ac:dyDescent="0.3">
      <c r="A134" s="46" t="str">
        <f>'CONTRACTOR INPUT'!A134</f>
        <v>CIVIC</v>
      </c>
      <c r="B134" s="42" t="str">
        <f>'CONTRACTOR INPUT'!B134</f>
        <v>LMD14A</v>
      </c>
      <c r="C134" s="42" t="str">
        <f>'CONTRACTOR INPUT'!C134</f>
        <v>LEGAL MAND</v>
      </c>
      <c r="D134" s="42" t="str">
        <f>'CONTRACTOR INPUT'!D134</f>
        <v>Electronic Depth Locates</v>
      </c>
      <c r="E134" s="42" t="str">
        <f>'CONTRACTOR INPUT'!E134</f>
        <v>LOCATION</v>
      </c>
      <c r="F134" s="23">
        <f>'CONTRACTOR INPUT'!F134</f>
        <v>0</v>
      </c>
      <c r="G134" s="60" t="str">
        <f>IFERROR(L134*F134,"")</f>
        <v/>
      </c>
      <c r="I134" s="22">
        <f>'CONTRACTOR INPUT'!H134</f>
        <v>0</v>
      </c>
      <c r="K134" s="3">
        <f t="shared" si="9"/>
        <v>0</v>
      </c>
      <c r="L134" s="76" t="e">
        <f t="array" ref="L134">INDEX('INFO-P'!$G$2:$G$500,MATCH(1,($D$4='INFO-P'!$C$2:$C$500)*(B134='INFO-P'!$B$2:$B$500),0))</f>
        <v>#N/A</v>
      </c>
      <c r="M134" s="29">
        <f t="shared" si="8"/>
        <v>0</v>
      </c>
    </row>
    <row r="135" spans="1:13" ht="15.75" thickBot="1" x14ac:dyDescent="0.3">
      <c r="A135" s="46" t="str">
        <f>'CONTRACTOR INPUT'!A135</f>
        <v>EP</v>
      </c>
      <c r="B135" s="42" t="str">
        <f>'CONTRACTOR INPUT'!B135</f>
        <v>MSC00A</v>
      </c>
      <c r="C135" s="42" t="str">
        <f>'CONTRACTOR INPUT'!C135</f>
        <v>MISCLABOR</v>
      </c>
      <c r="D135" s="42" t="str">
        <f>'CONTRACTOR INPUT'!D135</f>
        <v>Miscellaneous - Labor</v>
      </c>
      <c r="E135" s="42" t="str">
        <f>'CONTRACTOR INPUT'!E135</f>
        <v>DOLLAR</v>
      </c>
      <c r="F135" s="23">
        <f>'CONTRACTOR INPUT'!F135</f>
        <v>0</v>
      </c>
      <c r="G135" s="60" t="str">
        <f t="shared" ref="G135:G145" si="10">IFERROR(L135*F135,"")</f>
        <v/>
      </c>
      <c r="I135" s="22" t="str">
        <f>'CONTRACTOR INPUT'!H135</f>
        <v>INPUT $ AMOUNT</v>
      </c>
      <c r="K135" s="3" t="str">
        <f>IFERROR(I135-F135,"")</f>
        <v/>
      </c>
      <c r="L135" s="76" t="e">
        <f t="array" ref="L135">INDEX('INFO-P'!$G$2:$G$500,MATCH(1,($D$4='INFO-P'!$C$2:$C$500)*(B135='INFO-P'!$B$2:$B$500),0))</f>
        <v>#N/A</v>
      </c>
      <c r="M135" s="29" t="str">
        <f t="shared" si="8"/>
        <v/>
      </c>
    </row>
    <row r="136" spans="1:13" ht="15.75" thickBot="1" x14ac:dyDescent="0.3">
      <c r="A136" s="46" t="str">
        <f>'CONTRACTOR INPUT'!A136</f>
        <v>O</v>
      </c>
      <c r="B136" s="42" t="str">
        <f>'CONTRACTOR INPUT'!B136</f>
        <v>MSC02A</v>
      </c>
      <c r="C136" s="42" t="str">
        <f>'CONTRACTOR INPUT'!C136</f>
        <v>MISC OTHER</v>
      </c>
      <c r="D136" s="42" t="str">
        <f>'CONTRACTOR INPUT'!D136</f>
        <v>Miscellaneous - Non-Labor</v>
      </c>
      <c r="E136" s="42" t="str">
        <f>'CONTRACTOR INPUT'!E136</f>
        <v>DOLLAR</v>
      </c>
      <c r="F136" s="23">
        <f>'CONTRACTOR INPUT'!F136</f>
        <v>0</v>
      </c>
      <c r="G136" s="60" t="str">
        <f t="shared" si="10"/>
        <v/>
      </c>
      <c r="I136" s="22" t="str">
        <f>'CONTRACTOR INPUT'!H136</f>
        <v>INPUT $ AMOUNT</v>
      </c>
      <c r="K136" s="3" t="str">
        <f>IFERROR(I136-F136,"")</f>
        <v/>
      </c>
      <c r="L136" s="76" t="e">
        <f t="array" ref="L136">INDEX('INFO-P'!$G$2:$G$500,MATCH(1,($D$4='INFO-P'!$C$2:$C$500)*(B136='INFO-P'!$B$2:$B$500),0))</f>
        <v>#N/A</v>
      </c>
      <c r="M136" s="29" t="str">
        <f t="shared" si="8"/>
        <v/>
      </c>
    </row>
    <row r="137" spans="1:13" ht="15.75" thickBot="1" x14ac:dyDescent="0.3">
      <c r="A137" s="46" t="str">
        <f>'CONTRACTOR INPUT'!A137</f>
        <v>HOUR</v>
      </c>
      <c r="B137" s="42" t="str">
        <f>'CONTRACTOR INPUT'!B137</f>
        <v>HLB00A</v>
      </c>
      <c r="C137" s="42" t="str">
        <f>'CONTRACTOR INPUT'!C137</f>
        <v>HOURLY</v>
      </c>
      <c r="D137" s="42" t="str">
        <f>'CONTRACTOR INPUT'!D137</f>
        <v>Design/Project Engineer- BASE RATE</v>
      </c>
      <c r="E137" s="42" t="str">
        <f>'CONTRACTOR INPUT'!E137</f>
        <v>HOUR</v>
      </c>
      <c r="F137" s="23">
        <f>'CONTRACTOR INPUT'!F137</f>
        <v>0</v>
      </c>
      <c r="G137" s="60" t="str">
        <f t="shared" si="10"/>
        <v/>
      </c>
      <c r="I137" s="22">
        <f>'CONTRACTOR INPUT'!H137</f>
        <v>0</v>
      </c>
      <c r="K137" s="3">
        <f t="shared" ref="K137:K163" si="11">I137-F137</f>
        <v>0</v>
      </c>
      <c r="L137" s="76" t="e">
        <f t="array" ref="L137">INDEX('INFO-P'!$G$2:$G$500,MATCH(1,($D$4='INFO-P'!$C$2:$C$500)*(B137='INFO-P'!$B$2:$B$500),0))</f>
        <v>#N/A</v>
      </c>
      <c r="M137" s="29" t="str">
        <f t="shared" ref="M137:M163" si="12">IFERROR(K137*L137,"")</f>
        <v/>
      </c>
    </row>
    <row r="138" spans="1:13" ht="15.75" thickBot="1" x14ac:dyDescent="0.3">
      <c r="A138" s="46" t="str">
        <f>'CONTRACTOR INPUT'!A138</f>
        <v>HOUR</v>
      </c>
      <c r="B138" s="42" t="str">
        <f>'CONTRACTOR INPUT'!B138</f>
        <v>HLB02A</v>
      </c>
      <c r="C138" s="42" t="str">
        <f>'CONTRACTOR INPUT'!C138</f>
        <v>HOURLY</v>
      </c>
      <c r="D138" s="42" t="str">
        <f>'CONTRACTOR INPUT'!D138</f>
        <v>Field Engineer - BASE RATE</v>
      </c>
      <c r="E138" s="42" t="str">
        <f>'CONTRACTOR INPUT'!E138</f>
        <v>HOUR</v>
      </c>
      <c r="F138" s="23">
        <f>'CONTRACTOR INPUT'!F138</f>
        <v>0</v>
      </c>
      <c r="G138" s="60" t="str">
        <f t="shared" si="10"/>
        <v/>
      </c>
      <c r="I138" s="22">
        <f>'CONTRACTOR INPUT'!H138</f>
        <v>0</v>
      </c>
      <c r="K138" s="3">
        <f t="shared" si="11"/>
        <v>0</v>
      </c>
      <c r="L138" s="76" t="e">
        <f t="array" ref="L138">INDEX('INFO-P'!$G$2:$G$500,MATCH(1,($D$4='INFO-P'!$C$2:$C$500)*(B138='INFO-P'!$B$2:$B$500),0))</f>
        <v>#N/A</v>
      </c>
      <c r="M138" s="29" t="str">
        <f t="shared" si="12"/>
        <v/>
      </c>
    </row>
    <row r="139" spans="1:13" ht="15.75" thickBot="1" x14ac:dyDescent="0.3">
      <c r="A139" s="46" t="str">
        <f>'CONTRACTOR INPUT'!A139</f>
        <v>HOUR</v>
      </c>
      <c r="B139" s="42" t="str">
        <f>'CONTRACTOR INPUT'!B139</f>
        <v>HLB04A</v>
      </c>
      <c r="C139" s="42" t="str">
        <f>'CONTRACTOR INPUT'!C139</f>
        <v>HOURLY</v>
      </c>
      <c r="D139" s="42" t="str">
        <f>'CONTRACTOR INPUT'!D139</f>
        <v>Hourly Runner- BASE RATE</v>
      </c>
      <c r="E139" s="42" t="str">
        <f>'CONTRACTOR INPUT'!E139</f>
        <v>HOUR</v>
      </c>
      <c r="F139" s="23">
        <f>'CONTRACTOR INPUT'!F139</f>
        <v>0</v>
      </c>
      <c r="G139" s="60" t="str">
        <f t="shared" si="10"/>
        <v/>
      </c>
      <c r="I139" s="22">
        <f>'CONTRACTOR INPUT'!H139</f>
        <v>0</v>
      </c>
      <c r="K139" s="3">
        <f t="shared" si="11"/>
        <v>0</v>
      </c>
      <c r="L139" s="76" t="e">
        <f t="array" ref="L139">INDEX('INFO-P'!$G$2:$G$500,MATCH(1,($D$4='INFO-P'!$C$2:$C$500)*(B139='INFO-P'!$B$2:$B$500),0))</f>
        <v>#N/A</v>
      </c>
      <c r="M139" s="29" t="str">
        <f t="shared" si="12"/>
        <v/>
      </c>
    </row>
    <row r="140" spans="1:13" ht="15.75" thickBot="1" x14ac:dyDescent="0.3">
      <c r="A140" s="46" t="str">
        <f>'CONTRACTOR INPUT'!A140</f>
        <v>HOUR</v>
      </c>
      <c r="B140" s="42" t="str">
        <f>'CONTRACTOR INPUT'!B140</f>
        <v>HLB06A</v>
      </c>
      <c r="C140" s="42" t="str">
        <f>'CONTRACTOR INPUT'!C140</f>
        <v>HOURLY</v>
      </c>
      <c r="D140" s="42" t="str">
        <f>'CONTRACTOR INPUT'!D140</f>
        <v>CIVIL ENGINEER- BASE RATE</v>
      </c>
      <c r="E140" s="42" t="str">
        <f>'CONTRACTOR INPUT'!E140</f>
        <v>HOUR</v>
      </c>
      <c r="F140" s="23">
        <f>'CONTRACTOR INPUT'!F140</f>
        <v>0</v>
      </c>
      <c r="G140" s="60" t="str">
        <f t="shared" si="10"/>
        <v/>
      </c>
      <c r="I140" s="22">
        <f>'CONTRACTOR INPUT'!H140</f>
        <v>0</v>
      </c>
      <c r="K140" s="3">
        <f t="shared" si="11"/>
        <v>0</v>
      </c>
      <c r="L140" s="76" t="e">
        <f t="array" ref="L140">INDEX('INFO-P'!$G$2:$G$500,MATCH(1,($D$4='INFO-P'!$C$2:$C$500)*(B140='INFO-P'!$B$2:$B$500),0))</f>
        <v>#N/A</v>
      </c>
      <c r="M140" s="29" t="str">
        <f t="shared" si="12"/>
        <v/>
      </c>
    </row>
    <row r="141" spans="1:13" ht="15.75" thickBot="1" x14ac:dyDescent="0.3">
      <c r="A141" s="46" t="str">
        <f>'CONTRACTOR INPUT'!A141</f>
        <v>HOUR</v>
      </c>
      <c r="B141" s="42" t="str">
        <f>'CONTRACTOR INPUT'!B141</f>
        <v>HLB08A</v>
      </c>
      <c r="C141" s="42" t="str">
        <f>'CONTRACTOR INPUT'!C141</f>
        <v>HOURLY</v>
      </c>
      <c r="D141" s="42" t="str">
        <f>'CONTRACTOR INPUT'!D141</f>
        <v>STRUCTURAL ENGINEER- BASE RATE</v>
      </c>
      <c r="E141" s="42" t="str">
        <f>'CONTRACTOR INPUT'!E141</f>
        <v>HOUR</v>
      </c>
      <c r="F141" s="23">
        <f>'CONTRACTOR INPUT'!F141</f>
        <v>0</v>
      </c>
      <c r="G141" s="60" t="str">
        <f t="shared" si="10"/>
        <v/>
      </c>
      <c r="I141" s="22">
        <f>'CONTRACTOR INPUT'!H141</f>
        <v>0</v>
      </c>
      <c r="K141" s="3">
        <f t="shared" si="11"/>
        <v>0</v>
      </c>
      <c r="L141" s="76" t="e">
        <f t="array" ref="L141">INDEX('INFO-P'!$G$2:$G$500,MATCH(1,($D$4='INFO-P'!$C$2:$C$500)*(B141='INFO-P'!$B$2:$B$500),0))</f>
        <v>#N/A</v>
      </c>
      <c r="M141" s="29" t="str">
        <f t="shared" si="12"/>
        <v/>
      </c>
    </row>
    <row r="142" spans="1:13" ht="15.75" thickBot="1" x14ac:dyDescent="0.3">
      <c r="A142" s="46" t="str">
        <f>'CONTRACTOR INPUT'!A142</f>
        <v>HOUR</v>
      </c>
      <c r="B142" s="42" t="str">
        <f>'CONTRACTOR INPUT'!B142</f>
        <v>HLB12A</v>
      </c>
      <c r="C142" s="42" t="str">
        <f>'CONTRACTOR INPUT'!C142</f>
        <v>HOURLY</v>
      </c>
      <c r="D142" s="42" t="str">
        <f>'CONTRACTOR INPUT'!D142</f>
        <v>INSPECTOR - CONSTRUCTION- BASE RATE</v>
      </c>
      <c r="E142" s="42" t="str">
        <f>'CONTRACTOR INPUT'!E142</f>
        <v>HOUR</v>
      </c>
      <c r="F142" s="23">
        <f>'CONTRACTOR INPUT'!F142</f>
        <v>0</v>
      </c>
      <c r="G142" s="60" t="str">
        <f t="shared" si="10"/>
        <v/>
      </c>
      <c r="I142" s="22">
        <f>'CONTRACTOR INPUT'!H142</f>
        <v>0</v>
      </c>
      <c r="K142" s="3">
        <f t="shared" si="11"/>
        <v>0</v>
      </c>
      <c r="L142" s="76" t="e">
        <f t="array" ref="L142">INDEX('INFO-P'!$G$2:$G$500,MATCH(1,($D$4='INFO-P'!$C$2:$C$500)*(B142='INFO-P'!$B$2:$B$500),0))</f>
        <v>#N/A</v>
      </c>
      <c r="M142" s="29" t="str">
        <f t="shared" si="12"/>
        <v/>
      </c>
    </row>
    <row r="143" spans="1:13" ht="15.75" thickBot="1" x14ac:dyDescent="0.3">
      <c r="A143" s="46" t="str">
        <f>'CONTRACTOR INPUT'!A143</f>
        <v>HOUR</v>
      </c>
      <c r="B143" s="42" t="str">
        <f>'CONTRACTOR INPUT'!B143</f>
        <v>HLB14A</v>
      </c>
      <c r="C143" s="42" t="str">
        <f>'CONTRACTOR INPUT'!C143</f>
        <v>HOURLY</v>
      </c>
      <c r="D143" s="42" t="str">
        <f>'CONTRACTOR INPUT'!D143</f>
        <v>REGISTERED PROFESSIONAL LAND SURVEYOR- BASE RATE</v>
      </c>
      <c r="E143" s="42" t="str">
        <f>'CONTRACTOR INPUT'!E143</f>
        <v>HOUR</v>
      </c>
      <c r="F143" s="23">
        <f>'CONTRACTOR INPUT'!F143</f>
        <v>0</v>
      </c>
      <c r="G143" s="60" t="str">
        <f t="shared" si="10"/>
        <v/>
      </c>
      <c r="I143" s="22">
        <f>'CONTRACTOR INPUT'!H143</f>
        <v>0</v>
      </c>
      <c r="K143" s="3">
        <f t="shared" si="11"/>
        <v>0</v>
      </c>
      <c r="L143" s="76" t="e">
        <f t="array" ref="L143">INDEX('INFO-P'!$G$2:$G$500,MATCH(1,($D$4='INFO-P'!$C$2:$C$500)*(B143='INFO-P'!$B$2:$B$500),0))</f>
        <v>#N/A</v>
      </c>
      <c r="M143" s="29" t="str">
        <f t="shared" si="12"/>
        <v/>
      </c>
    </row>
    <row r="144" spans="1:13" ht="15.75" thickBot="1" x14ac:dyDescent="0.3">
      <c r="A144" s="46" t="str">
        <f>'CONTRACTOR INPUT'!A144</f>
        <v>HOUR</v>
      </c>
      <c r="B144" s="42" t="str">
        <f>'CONTRACTOR INPUT'!B144</f>
        <v>HLB16A</v>
      </c>
      <c r="C144" s="42" t="str">
        <f>'CONTRACTOR INPUT'!C144</f>
        <v>HOURLY</v>
      </c>
      <c r="D144" s="42" t="str">
        <f>'CONTRACTOR INPUT'!D144</f>
        <v>3-PERSON SURVEY CREW- BASE RATE</v>
      </c>
      <c r="E144" s="42" t="str">
        <f>'CONTRACTOR INPUT'!E144</f>
        <v>HOUR</v>
      </c>
      <c r="F144" s="23">
        <f>'CONTRACTOR INPUT'!F144</f>
        <v>0</v>
      </c>
      <c r="G144" s="60" t="str">
        <f t="shared" si="10"/>
        <v/>
      </c>
      <c r="I144" s="22">
        <f>'CONTRACTOR INPUT'!H144</f>
        <v>0</v>
      </c>
      <c r="K144" s="3">
        <f t="shared" si="11"/>
        <v>0</v>
      </c>
      <c r="L144" s="76" t="e">
        <f t="array" ref="L144">INDEX('INFO-P'!$G$2:$G$500,MATCH(1,($D$4='INFO-P'!$C$2:$C$500)*(B144='INFO-P'!$B$2:$B$500),0))</f>
        <v>#N/A</v>
      </c>
      <c r="M144" s="29" t="str">
        <f t="shared" si="12"/>
        <v/>
      </c>
    </row>
    <row r="145" spans="1:13" ht="15.75" thickBot="1" x14ac:dyDescent="0.3">
      <c r="A145" s="46" t="str">
        <f>'CONTRACTOR INPUT'!A145</f>
        <v>HOUR</v>
      </c>
      <c r="B145" s="42" t="str">
        <f>'CONTRACTOR INPUT'!B145</f>
        <v>HLB18A</v>
      </c>
      <c r="C145" s="42" t="str">
        <f>'CONTRACTOR INPUT'!C145</f>
        <v>HOURLY</v>
      </c>
      <c r="D145" s="42" t="str">
        <f>'CONTRACTOR INPUT'!D145</f>
        <v>2-PERSON SURVEY CREW- BASE RATE</v>
      </c>
      <c r="E145" s="42" t="str">
        <f>'CONTRACTOR INPUT'!E145</f>
        <v>HOUR</v>
      </c>
      <c r="F145" s="23">
        <f>'CONTRACTOR INPUT'!F145</f>
        <v>0</v>
      </c>
      <c r="G145" s="60" t="str">
        <f t="shared" si="10"/>
        <v/>
      </c>
      <c r="I145" s="22">
        <f>'CONTRACTOR INPUT'!H145</f>
        <v>0</v>
      </c>
      <c r="K145" s="3">
        <f t="shared" si="11"/>
        <v>0</v>
      </c>
      <c r="L145" s="76" t="e">
        <f t="array" ref="L145">INDEX('INFO-P'!$G$2:$G$500,MATCH(1,($D$4='INFO-P'!$C$2:$C$500)*(B145='INFO-P'!$B$2:$B$500),0))</f>
        <v>#N/A</v>
      </c>
      <c r="M145" s="29" t="str">
        <f t="shared" si="12"/>
        <v/>
      </c>
    </row>
    <row r="146" spans="1:13" ht="15.75" thickBot="1" x14ac:dyDescent="0.3">
      <c r="A146" s="46"/>
      <c r="B146" s="42"/>
      <c r="C146" s="42"/>
      <c r="D146" s="42"/>
      <c r="E146" s="42"/>
      <c r="F146" s="23"/>
      <c r="G146" s="60"/>
      <c r="I146" s="22"/>
      <c r="K146" s="3">
        <f t="shared" si="11"/>
        <v>0</v>
      </c>
      <c r="L146" s="76" t="e">
        <f t="array" ref="L146">INDEX('INFO-P'!$G$2:$G$500,MATCH(1,($D$4='INFO-P'!$C$2:$C$500)*(B146='INFO-P'!$B$2:$B$500),0))</f>
        <v>#N/A</v>
      </c>
      <c r="M146" s="29" t="str">
        <f t="shared" si="12"/>
        <v/>
      </c>
    </row>
    <row r="147" spans="1:13" ht="15.75" thickBot="1" x14ac:dyDescent="0.3">
      <c r="A147" s="46"/>
      <c r="B147" s="42"/>
      <c r="C147" s="42"/>
      <c r="D147" s="42"/>
      <c r="E147" s="42"/>
      <c r="F147" s="23"/>
      <c r="G147" s="60"/>
      <c r="I147" s="22"/>
      <c r="K147" s="3">
        <f t="shared" si="11"/>
        <v>0</v>
      </c>
      <c r="L147" s="76" t="e">
        <f t="array" ref="L147">INDEX('INFO-P'!$G$2:$G$500,MATCH(1,($D$4='INFO-P'!$C$2:$C$500)*(B147='INFO-P'!$B$2:$B$500),0))</f>
        <v>#N/A</v>
      </c>
      <c r="M147" s="29" t="str">
        <f t="shared" si="12"/>
        <v/>
      </c>
    </row>
    <row r="148" spans="1:13" ht="15.75" thickBot="1" x14ac:dyDescent="0.3">
      <c r="A148" s="46"/>
      <c r="B148" s="42"/>
      <c r="C148" s="42"/>
      <c r="D148" s="42"/>
      <c r="E148" s="42"/>
      <c r="F148" s="23"/>
      <c r="G148" s="60"/>
      <c r="I148" s="22"/>
      <c r="K148" s="3">
        <f t="shared" si="11"/>
        <v>0</v>
      </c>
      <c r="L148" s="76" t="e">
        <f t="array" ref="L148">INDEX('INFO-P'!$G$2:$G$500,MATCH(1,($D$4='INFO-P'!$C$2:$C$500)*(B148='INFO-P'!$B$2:$B$500),0))</f>
        <v>#N/A</v>
      </c>
      <c r="M148" s="29" t="str">
        <f t="shared" si="12"/>
        <v/>
      </c>
    </row>
    <row r="149" spans="1:13" ht="15.75" thickBot="1" x14ac:dyDescent="0.3">
      <c r="A149" s="46"/>
      <c r="B149" s="42"/>
      <c r="C149" s="42"/>
      <c r="D149" s="42"/>
      <c r="E149" s="42"/>
      <c r="F149" s="23"/>
      <c r="G149" s="60"/>
      <c r="I149" s="22"/>
      <c r="K149" s="3">
        <f t="shared" si="11"/>
        <v>0</v>
      </c>
      <c r="L149" s="76" t="e">
        <f t="array" ref="L149">INDEX('INFO-P'!$G$2:$G$500,MATCH(1,($D$4='INFO-P'!$C$2:$C$500)*(B149='INFO-P'!$B$2:$B$500),0))</f>
        <v>#N/A</v>
      </c>
      <c r="M149" s="29" t="str">
        <f t="shared" si="12"/>
        <v/>
      </c>
    </row>
    <row r="150" spans="1:13" ht="15.75" thickBot="1" x14ac:dyDescent="0.3">
      <c r="A150" s="46"/>
      <c r="B150" s="42"/>
      <c r="C150" s="42"/>
      <c r="D150" s="42"/>
      <c r="E150" s="42"/>
      <c r="F150" s="23"/>
      <c r="G150" s="60"/>
      <c r="I150" s="22"/>
      <c r="K150" s="3">
        <f t="shared" si="11"/>
        <v>0</v>
      </c>
      <c r="L150" s="76" t="e">
        <f t="array" ref="L150">INDEX('INFO-P'!$G$2:$G$500,MATCH(1,($D$4='INFO-P'!$C$2:$C$500)*(B150='INFO-P'!$B$2:$B$500),0))</f>
        <v>#N/A</v>
      </c>
      <c r="M150" s="29" t="str">
        <f t="shared" si="12"/>
        <v/>
      </c>
    </row>
    <row r="151" spans="1:13" ht="15.75" thickBot="1" x14ac:dyDescent="0.3">
      <c r="A151" s="46"/>
      <c r="B151" s="42"/>
      <c r="C151" s="42"/>
      <c r="D151" s="42"/>
      <c r="E151" s="42"/>
      <c r="F151" s="23"/>
      <c r="G151" s="60"/>
      <c r="I151" s="22"/>
      <c r="K151" s="3">
        <f t="shared" si="11"/>
        <v>0</v>
      </c>
      <c r="L151" s="76" t="e">
        <f t="array" ref="L151">INDEX('INFO-P'!$G$2:$G$500,MATCH(1,($D$4='INFO-P'!$C$2:$C$500)*(B151='INFO-P'!$B$2:$B$500),0))</f>
        <v>#N/A</v>
      </c>
      <c r="M151" s="29" t="str">
        <f t="shared" si="12"/>
        <v/>
      </c>
    </row>
    <row r="152" spans="1:13" ht="15.75" thickBot="1" x14ac:dyDescent="0.3">
      <c r="A152" s="46"/>
      <c r="B152" s="42"/>
      <c r="C152" s="42"/>
      <c r="D152" s="42"/>
      <c r="E152" s="42"/>
      <c r="F152" s="23"/>
      <c r="G152" s="60"/>
      <c r="I152" s="22"/>
      <c r="K152" s="3">
        <f t="shared" si="11"/>
        <v>0</v>
      </c>
      <c r="L152" s="76" t="e">
        <f t="array" ref="L152">INDEX('INFO-P'!$G$2:$G$500,MATCH(1,($D$4='INFO-P'!$C$2:$C$500)*(B152='INFO-P'!$B$2:$B$500),0))</f>
        <v>#N/A</v>
      </c>
      <c r="M152" s="29" t="str">
        <f t="shared" si="12"/>
        <v/>
      </c>
    </row>
    <row r="153" spans="1:13" ht="15.75" thickBot="1" x14ac:dyDescent="0.3">
      <c r="A153" s="46"/>
      <c r="B153" s="42"/>
      <c r="C153" s="42"/>
      <c r="D153" s="42"/>
      <c r="E153" s="42"/>
      <c r="F153" s="23"/>
      <c r="G153" s="60"/>
      <c r="I153" s="22"/>
      <c r="K153" s="3">
        <f t="shared" si="11"/>
        <v>0</v>
      </c>
      <c r="L153" s="76" t="e">
        <f t="array" ref="L153">INDEX('INFO-P'!$G$2:$G$500,MATCH(1,($D$4='INFO-P'!$C$2:$C$500)*(B153='INFO-P'!$B$2:$B$500),0))</f>
        <v>#N/A</v>
      </c>
      <c r="M153" s="29" t="str">
        <f t="shared" si="12"/>
        <v/>
      </c>
    </row>
    <row r="154" spans="1:13" ht="15.75" thickBot="1" x14ac:dyDescent="0.3">
      <c r="A154" s="46"/>
      <c r="B154" s="42"/>
      <c r="C154" s="42"/>
      <c r="D154" s="42"/>
      <c r="E154" s="42"/>
      <c r="F154" s="23"/>
      <c r="G154" s="60"/>
      <c r="I154" s="22"/>
      <c r="K154" s="3">
        <f t="shared" si="11"/>
        <v>0</v>
      </c>
      <c r="L154" s="76" t="e">
        <f t="array" ref="L154">INDEX('INFO-P'!$G$2:$G$500,MATCH(1,($D$4='INFO-P'!$C$2:$C$500)*(B154='INFO-P'!$B$2:$B$500),0))</f>
        <v>#N/A</v>
      </c>
      <c r="M154" s="29" t="str">
        <f t="shared" si="12"/>
        <v/>
      </c>
    </row>
    <row r="155" spans="1:13" ht="12.75" customHeight="1" thickBot="1" x14ac:dyDescent="0.3">
      <c r="A155" s="46"/>
      <c r="B155" s="42"/>
      <c r="C155" s="42"/>
      <c r="D155" s="42"/>
      <c r="E155" s="42"/>
      <c r="F155" s="23"/>
      <c r="G155" s="60"/>
      <c r="I155" s="22"/>
      <c r="K155" s="3">
        <f t="shared" si="11"/>
        <v>0</v>
      </c>
      <c r="L155" s="76" t="e">
        <f t="array" ref="L155">INDEX('INFO-P'!$G$2:$G$500,MATCH(1,($D$4='INFO-P'!$C$2:$C$500)*(B155='INFO-P'!$B$2:$B$500),0))</f>
        <v>#N/A</v>
      </c>
      <c r="M155" s="29" t="str">
        <f t="shared" si="12"/>
        <v/>
      </c>
    </row>
    <row r="156" spans="1:13" ht="15.75" thickBot="1" x14ac:dyDescent="0.3">
      <c r="A156" s="46"/>
      <c r="B156" s="42"/>
      <c r="C156" s="42"/>
      <c r="D156" s="42"/>
      <c r="E156" s="42"/>
      <c r="F156" s="23"/>
      <c r="G156" s="60"/>
      <c r="I156" s="22"/>
      <c r="K156" s="3">
        <f t="shared" si="11"/>
        <v>0</v>
      </c>
      <c r="L156" s="76" t="e">
        <f t="array" ref="L156">INDEX('INFO-P'!$G$2:$G$500,MATCH(1,($D$4='INFO-P'!$C$2:$C$500)*(B156='INFO-P'!$B$2:$B$500),0))</f>
        <v>#N/A</v>
      </c>
      <c r="M156" s="29" t="str">
        <f t="shared" si="12"/>
        <v/>
      </c>
    </row>
    <row r="157" spans="1:13" ht="15.75" thickBot="1" x14ac:dyDescent="0.3">
      <c r="A157" s="46"/>
      <c r="B157" s="42"/>
      <c r="C157" s="42"/>
      <c r="D157" s="42"/>
      <c r="E157" s="42"/>
      <c r="F157" s="23"/>
      <c r="G157" s="60"/>
      <c r="I157" s="22"/>
      <c r="K157" s="3">
        <f t="shared" si="11"/>
        <v>0</v>
      </c>
      <c r="L157" s="76" t="e">
        <f t="array" ref="L157">INDEX('INFO-P'!$G$2:$G$500,MATCH(1,($D$4='INFO-P'!$C$2:$C$500)*(B157='INFO-P'!$B$2:$B$500),0))</f>
        <v>#N/A</v>
      </c>
      <c r="M157" s="29" t="str">
        <f t="shared" si="12"/>
        <v/>
      </c>
    </row>
    <row r="158" spans="1:13" ht="15.75" thickBot="1" x14ac:dyDescent="0.3">
      <c r="A158" s="46"/>
      <c r="B158" s="42"/>
      <c r="C158" s="42"/>
      <c r="D158" s="42"/>
      <c r="E158" s="42"/>
      <c r="F158" s="23"/>
      <c r="G158" s="60"/>
      <c r="I158" s="22"/>
      <c r="K158" s="3">
        <f t="shared" si="11"/>
        <v>0</v>
      </c>
      <c r="L158" s="76" t="e">
        <f t="array" ref="L158">INDEX('INFO-P'!$G$2:$G$500,MATCH(1,($D$4='INFO-P'!$C$2:$C$500)*(B158='INFO-P'!$B$2:$B$500),0))</f>
        <v>#N/A</v>
      </c>
      <c r="M158" s="29" t="str">
        <f t="shared" si="12"/>
        <v/>
      </c>
    </row>
    <row r="159" spans="1:13" ht="15.75" thickBot="1" x14ac:dyDescent="0.3">
      <c r="A159" s="46"/>
      <c r="B159" s="42"/>
      <c r="C159" s="42"/>
      <c r="D159" s="42"/>
      <c r="E159" s="42"/>
      <c r="F159" s="23"/>
      <c r="G159" s="60"/>
      <c r="I159" s="22"/>
      <c r="K159" s="3">
        <f t="shared" si="11"/>
        <v>0</v>
      </c>
      <c r="L159" s="76" t="e">
        <f t="array" ref="L159">INDEX('INFO-P'!$G$2:$G$500,MATCH(1,($D$4='INFO-P'!$C$2:$C$500)*(B159='INFO-P'!$B$2:$B$500),0))</f>
        <v>#N/A</v>
      </c>
      <c r="M159" s="29" t="str">
        <f t="shared" si="12"/>
        <v/>
      </c>
    </row>
    <row r="160" spans="1:13" ht="15.75" thickBot="1" x14ac:dyDescent="0.3">
      <c r="A160" s="46"/>
      <c r="B160" s="42"/>
      <c r="C160" s="42"/>
      <c r="D160" s="42"/>
      <c r="E160" s="42"/>
      <c r="F160" s="23"/>
      <c r="G160" s="60"/>
      <c r="I160" s="22"/>
      <c r="K160" s="3">
        <f t="shared" si="11"/>
        <v>0</v>
      </c>
      <c r="L160" s="76" t="e">
        <f t="array" ref="L160">INDEX('INFO-P'!$G$2:$G$500,MATCH(1,($D$4='INFO-P'!$C$2:$C$500)*(B160='INFO-P'!$B$2:$B$500),0))</f>
        <v>#N/A</v>
      </c>
      <c r="M160" s="29" t="str">
        <f t="shared" si="12"/>
        <v/>
      </c>
    </row>
    <row r="161" spans="1:13" ht="15.75" thickBot="1" x14ac:dyDescent="0.3">
      <c r="A161" s="46"/>
      <c r="B161" s="42"/>
      <c r="C161" s="42"/>
      <c r="D161" s="42"/>
      <c r="E161" s="42"/>
      <c r="F161" s="23"/>
      <c r="G161" s="60"/>
      <c r="I161" s="22"/>
      <c r="K161" s="3">
        <f t="shared" si="11"/>
        <v>0</v>
      </c>
      <c r="L161" s="76" t="e">
        <f t="array" ref="L161">INDEX('INFO-P'!$G$2:$G$500,MATCH(1,($D$4='INFO-P'!$C$2:$C$500)*(B161='INFO-P'!$B$2:$B$500),0))</f>
        <v>#N/A</v>
      </c>
      <c r="M161" s="29" t="str">
        <f t="shared" si="12"/>
        <v/>
      </c>
    </row>
    <row r="162" spans="1:13" ht="15.75" thickBot="1" x14ac:dyDescent="0.3">
      <c r="A162" s="46"/>
      <c r="B162" s="42"/>
      <c r="C162" s="42"/>
      <c r="D162" s="42"/>
      <c r="E162" s="42"/>
      <c r="F162" s="23"/>
      <c r="G162" s="60"/>
      <c r="I162" s="22"/>
      <c r="K162" s="3">
        <f t="shared" si="11"/>
        <v>0</v>
      </c>
      <c r="L162" s="76" t="e">
        <f t="array" ref="L162">INDEX('INFO-P'!$G$2:$G$500,MATCH(1,($D$4='INFO-P'!$C$2:$C$500)*(B162='INFO-P'!$B$2:$B$500),0))</f>
        <v>#N/A</v>
      </c>
      <c r="M162" s="29" t="str">
        <f t="shared" si="12"/>
        <v/>
      </c>
    </row>
    <row r="163" spans="1:13" ht="15.75" thickBot="1" x14ac:dyDescent="0.3">
      <c r="A163" s="46"/>
      <c r="B163" s="42"/>
      <c r="C163" s="42"/>
      <c r="D163" s="42"/>
      <c r="E163" s="42"/>
      <c r="F163" s="23"/>
      <c r="G163" s="60"/>
      <c r="I163" s="22"/>
      <c r="K163" s="3">
        <f t="shared" si="11"/>
        <v>0</v>
      </c>
      <c r="L163" s="76" t="e">
        <f t="array" ref="L163">INDEX('INFO-P'!$G$2:$G$500,MATCH(1,($D$4='INFO-P'!$C$2:$C$500)*(B163='INFO-P'!$B$2:$B$500),0))</f>
        <v>#N/A</v>
      </c>
      <c r="M163" s="61" t="str">
        <f t="shared" si="12"/>
        <v/>
      </c>
    </row>
    <row r="164" spans="1:13" ht="15.75" thickBot="1" x14ac:dyDescent="0.3">
      <c r="G164" s="59">
        <f>IFERROR(SUMIF(G6:G163,"&lt;&gt;""#N/A"),"")</f>
        <v>486</v>
      </c>
      <c r="M164" s="62">
        <f>SUMIF(M6:M163,"&lt;&gt;#N/A")</f>
        <v>559.98</v>
      </c>
    </row>
    <row r="165" spans="1:13" ht="15.75" thickBot="1" x14ac:dyDescent="0.3">
      <c r="G165" s="37"/>
      <c r="M165" s="31"/>
    </row>
    <row r="166" spans="1:13" x14ac:dyDescent="0.25">
      <c r="B166" s="105" t="str">
        <f>'CONTRACTOR INPUT'!B147</f>
        <v>Explanation of MISC. Other with unit breakdown if any: MSC00A (# of business served)  BUSINESSES ADDRESSES @ $3=$0</v>
      </c>
      <c r="C166" s="106"/>
      <c r="D166" s="106"/>
      <c r="E166" s="106"/>
      <c r="F166" s="106"/>
      <c r="G166" s="107"/>
    </row>
    <row r="167" spans="1:13" x14ac:dyDescent="0.25">
      <c r="B167" s="108"/>
      <c r="C167" s="109"/>
      <c r="D167" s="109"/>
      <c r="E167" s="109"/>
      <c r="F167" s="109"/>
      <c r="G167" s="110"/>
    </row>
    <row r="168" spans="1:13" x14ac:dyDescent="0.25">
      <c r="B168" s="108"/>
      <c r="C168" s="109"/>
      <c r="D168" s="109"/>
      <c r="E168" s="109"/>
      <c r="F168" s="109"/>
      <c r="G168" s="110"/>
    </row>
    <row r="169" spans="1:13" x14ac:dyDescent="0.25">
      <c r="B169" s="108"/>
      <c r="C169" s="109"/>
      <c r="D169" s="109"/>
      <c r="E169" s="109"/>
      <c r="F169" s="109"/>
      <c r="G169" s="110"/>
    </row>
    <row r="170" spans="1:13" x14ac:dyDescent="0.25">
      <c r="B170" s="108"/>
      <c r="C170" s="109"/>
      <c r="D170" s="109"/>
      <c r="E170" s="109"/>
      <c r="F170" s="109"/>
      <c r="G170" s="110"/>
    </row>
    <row r="171" spans="1:13" x14ac:dyDescent="0.25">
      <c r="B171" s="108"/>
      <c r="C171" s="109"/>
      <c r="D171" s="109"/>
      <c r="E171" s="109"/>
      <c r="F171" s="109"/>
      <c r="G171" s="110"/>
    </row>
    <row r="172" spans="1:13" x14ac:dyDescent="0.25">
      <c r="B172" s="108"/>
      <c r="C172" s="109"/>
      <c r="D172" s="109"/>
      <c r="E172" s="109"/>
      <c r="F172" s="109"/>
      <c r="G172" s="110"/>
    </row>
    <row r="173" spans="1:13" x14ac:dyDescent="0.25">
      <c r="B173" s="108"/>
      <c r="C173" s="109"/>
      <c r="D173" s="109"/>
      <c r="E173" s="109"/>
      <c r="F173" s="109"/>
      <c r="G173" s="110"/>
    </row>
    <row r="174" spans="1:13" x14ac:dyDescent="0.25">
      <c r="B174" s="108"/>
      <c r="C174" s="109"/>
      <c r="D174" s="109"/>
      <c r="E174" s="109"/>
      <c r="F174" s="109"/>
      <c r="G174" s="110"/>
    </row>
    <row r="175" spans="1:13" x14ac:dyDescent="0.25">
      <c r="B175" s="108"/>
      <c r="C175" s="109"/>
      <c r="D175" s="109"/>
      <c r="E175" s="109"/>
      <c r="F175" s="109"/>
      <c r="G175" s="110"/>
    </row>
    <row r="176" spans="1:13" x14ac:dyDescent="0.25">
      <c r="B176" s="108"/>
      <c r="C176" s="109"/>
      <c r="D176" s="109"/>
      <c r="E176" s="109"/>
      <c r="F176" s="109"/>
      <c r="G176" s="110"/>
    </row>
    <row r="177" spans="2:7" ht="15.75" thickBot="1" x14ac:dyDescent="0.3">
      <c r="B177" s="111"/>
      <c r="C177" s="112"/>
      <c r="D177" s="112"/>
      <c r="E177" s="112"/>
      <c r="F177" s="112"/>
      <c r="G177" s="113"/>
    </row>
  </sheetData>
  <sheetProtection selectLockedCells="1"/>
  <protectedRanges>
    <protectedRange password="C3CA" sqref="I6:I163" name="Range2"/>
  </protectedRanges>
  <mergeCells count="5">
    <mergeCell ref="B166:G177"/>
    <mergeCell ref="A1:M1"/>
    <mergeCell ref="A2:C2"/>
    <mergeCell ref="A3:C3"/>
    <mergeCell ref="A4:C4"/>
  </mergeCells>
  <pageMargins left="0.7" right="0.7" top="0.75" bottom="0.75" header="0.3" footer="0.3"/>
  <pageSetup scale="71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G561"/>
  <sheetViews>
    <sheetView topLeftCell="A211" workbookViewId="0">
      <selection activeCell="G216" sqref="G216"/>
    </sheetView>
  </sheetViews>
  <sheetFormatPr defaultColWidth="9.140625" defaultRowHeight="15" x14ac:dyDescent="0.25"/>
  <cols>
    <col min="1" max="1" width="23.85546875" style="26" bestFit="1" customWidth="1"/>
    <col min="2" max="2" width="9.140625" style="26"/>
    <col min="3" max="3" width="9.28515625" style="26" bestFit="1" customWidth="1"/>
    <col min="4" max="4" width="10.5703125" style="26" bestFit="1" customWidth="1"/>
    <col min="5" max="5" width="12.7109375" style="26" bestFit="1" customWidth="1"/>
    <col min="6" max="6" width="49.7109375" style="26" bestFit="1" customWidth="1"/>
    <col min="7" max="7" width="24" style="80" bestFit="1" customWidth="1"/>
    <col min="8" max="16384" width="9.140625" style="26"/>
  </cols>
  <sheetData>
    <row r="1" spans="1:7" x14ac:dyDescent="0.25">
      <c r="A1" s="39" t="s">
        <v>1354</v>
      </c>
      <c r="B1" s="27" t="s">
        <v>1274</v>
      </c>
      <c r="C1" s="27" t="s">
        <v>1272</v>
      </c>
      <c r="D1" s="27" t="s">
        <v>1275</v>
      </c>
      <c r="E1" s="27" t="s">
        <v>1276</v>
      </c>
      <c r="F1" s="27" t="s">
        <v>1277</v>
      </c>
      <c r="G1" s="77" t="s">
        <v>1278</v>
      </c>
    </row>
    <row r="2" spans="1:7" x14ac:dyDescent="0.25">
      <c r="A2" s="26" t="str">
        <f t="shared" ref="A2:A33" si="0">B2&amp;"_"&amp;C2&amp;"_"&amp;E2</f>
        <v>ESU00A_NWHST_BYERS</v>
      </c>
      <c r="B2" t="s">
        <v>1378</v>
      </c>
      <c r="C2" t="s">
        <v>1816</v>
      </c>
      <c r="D2" s="15" t="s">
        <v>1293</v>
      </c>
      <c r="E2" s="15" t="s">
        <v>1294</v>
      </c>
      <c r="F2" s="15" t="s">
        <v>1770</v>
      </c>
      <c r="G2" s="78">
        <v>486.00000000000011</v>
      </c>
    </row>
    <row r="3" spans="1:7" x14ac:dyDescent="0.25">
      <c r="A3" s="26" t="str">
        <f t="shared" si="0"/>
        <v>ERE00A_NWHST_BYERS</v>
      </c>
      <c r="B3" t="s">
        <v>1381</v>
      </c>
      <c r="C3" t="s">
        <v>1816</v>
      </c>
      <c r="D3" s="15" t="s">
        <v>1293</v>
      </c>
      <c r="E3" s="15" t="s">
        <v>1294</v>
      </c>
      <c r="F3" s="15" t="s">
        <v>1770</v>
      </c>
      <c r="G3" s="78">
        <v>75.600000000000009</v>
      </c>
    </row>
    <row r="4" spans="1:7" x14ac:dyDescent="0.25">
      <c r="A4" s="26" t="str">
        <f t="shared" si="0"/>
        <v>ACE00A_NWHST_BYERS</v>
      </c>
      <c r="B4" t="s">
        <v>1384</v>
      </c>
      <c r="C4" t="s">
        <v>1816</v>
      </c>
      <c r="D4" s="15" t="s">
        <v>1293</v>
      </c>
      <c r="E4" s="15" t="s">
        <v>1294</v>
      </c>
      <c r="F4" s="15" t="s">
        <v>1770</v>
      </c>
      <c r="G4" s="78" t="s">
        <v>1805</v>
      </c>
    </row>
    <row r="5" spans="1:7" x14ac:dyDescent="0.25">
      <c r="A5" s="26" t="str">
        <f t="shared" si="0"/>
        <v>ACE02A_NWHST_BYERS</v>
      </c>
      <c r="B5" t="s">
        <v>1387</v>
      </c>
      <c r="C5" t="s">
        <v>1816</v>
      </c>
      <c r="D5" s="15" t="s">
        <v>1293</v>
      </c>
      <c r="E5" s="15" t="s">
        <v>1294</v>
      </c>
      <c r="F5" s="15" t="s">
        <v>1770</v>
      </c>
      <c r="G5" s="78" t="s">
        <v>1805</v>
      </c>
    </row>
    <row r="6" spans="1:7" x14ac:dyDescent="0.25">
      <c r="A6" s="26" t="str">
        <f t="shared" si="0"/>
        <v>ACE04A_NWHST_BYERS</v>
      </c>
      <c r="B6" t="s">
        <v>1390</v>
      </c>
      <c r="C6" t="s">
        <v>1816</v>
      </c>
      <c r="D6" s="15" t="s">
        <v>1293</v>
      </c>
      <c r="E6" s="15" t="s">
        <v>1294</v>
      </c>
      <c r="F6" s="15" t="s">
        <v>1770</v>
      </c>
      <c r="G6" s="78" t="s">
        <v>1805</v>
      </c>
    </row>
    <row r="7" spans="1:7" x14ac:dyDescent="0.25">
      <c r="A7" s="26" t="str">
        <f t="shared" si="0"/>
        <v>ACA00A_NWHST_BYERS</v>
      </c>
      <c r="B7" t="s">
        <v>1392</v>
      </c>
      <c r="C7" t="s">
        <v>1816</v>
      </c>
      <c r="D7" s="15" t="s">
        <v>1293</v>
      </c>
      <c r="E7" s="15" t="s">
        <v>1294</v>
      </c>
      <c r="F7" s="15" t="s">
        <v>1770</v>
      </c>
      <c r="G7" s="78">
        <v>0.28000000000000003</v>
      </c>
    </row>
    <row r="8" spans="1:7" x14ac:dyDescent="0.25">
      <c r="A8" s="26" t="str">
        <f t="shared" si="0"/>
        <v>ACA02A_NWHST_BYERS</v>
      </c>
      <c r="B8" t="s">
        <v>1395</v>
      </c>
      <c r="C8" t="s">
        <v>1816</v>
      </c>
      <c r="D8" s="15" t="s">
        <v>1293</v>
      </c>
      <c r="E8" s="15" t="s">
        <v>1294</v>
      </c>
      <c r="F8" s="15" t="s">
        <v>1770</v>
      </c>
      <c r="G8" s="78">
        <v>0.24</v>
      </c>
    </row>
    <row r="9" spans="1:7" x14ac:dyDescent="0.25">
      <c r="A9" s="26" t="str">
        <f t="shared" si="0"/>
        <v>ACA04A_NWHST_BYERS</v>
      </c>
      <c r="B9" t="s">
        <v>1397</v>
      </c>
      <c r="C9" t="s">
        <v>1816</v>
      </c>
      <c r="D9" s="15" t="s">
        <v>1293</v>
      </c>
      <c r="E9" s="15" t="s">
        <v>1294</v>
      </c>
      <c r="F9" s="15" t="s">
        <v>1770</v>
      </c>
      <c r="G9" s="78">
        <v>0.15</v>
      </c>
    </row>
    <row r="10" spans="1:7" x14ac:dyDescent="0.25">
      <c r="A10" s="26" t="str">
        <f t="shared" si="0"/>
        <v>ACA06A_NWHST_BYERS</v>
      </c>
      <c r="B10" t="s">
        <v>1399</v>
      </c>
      <c r="C10" t="s">
        <v>1816</v>
      </c>
      <c r="D10" s="15" t="s">
        <v>1293</v>
      </c>
      <c r="E10" s="15" t="s">
        <v>1294</v>
      </c>
      <c r="F10" s="15" t="s">
        <v>1770</v>
      </c>
      <c r="G10" s="78">
        <v>0.13</v>
      </c>
    </row>
    <row r="11" spans="1:7" x14ac:dyDescent="0.25">
      <c r="A11" s="26" t="str">
        <f t="shared" si="0"/>
        <v>ACA08A_NWHST_BYERS</v>
      </c>
      <c r="B11" t="s">
        <v>1401</v>
      </c>
      <c r="C11" t="s">
        <v>1816</v>
      </c>
      <c r="D11" s="15" t="s">
        <v>1293</v>
      </c>
      <c r="E11" s="15" t="s">
        <v>1294</v>
      </c>
      <c r="F11" s="15" t="s">
        <v>1770</v>
      </c>
      <c r="G11" s="78">
        <v>0.19</v>
      </c>
    </row>
    <row r="12" spans="1:7" x14ac:dyDescent="0.25">
      <c r="A12" s="26" t="str">
        <f t="shared" si="0"/>
        <v>ACA10A_NWHST_BYERS</v>
      </c>
      <c r="B12" t="s">
        <v>1403</v>
      </c>
      <c r="C12" t="s">
        <v>1816</v>
      </c>
      <c r="D12" s="15" t="s">
        <v>1293</v>
      </c>
      <c r="E12" s="15" t="s">
        <v>1294</v>
      </c>
      <c r="F12" s="15" t="s">
        <v>1770</v>
      </c>
      <c r="G12" s="78">
        <v>0.41</v>
      </c>
    </row>
    <row r="13" spans="1:7" x14ac:dyDescent="0.25">
      <c r="A13" s="26" t="str">
        <f t="shared" si="0"/>
        <v>ACA12A_NWHST_BYERS</v>
      </c>
      <c r="B13" t="s">
        <v>1404</v>
      </c>
      <c r="C13" t="s">
        <v>1816</v>
      </c>
      <c r="D13" s="15" t="s">
        <v>1293</v>
      </c>
      <c r="E13" s="15" t="s">
        <v>1294</v>
      </c>
      <c r="F13" s="15" t="s">
        <v>1770</v>
      </c>
      <c r="G13" s="78">
        <v>0.37</v>
      </c>
    </row>
    <row r="14" spans="1:7" x14ac:dyDescent="0.25">
      <c r="A14" s="26" t="str">
        <f t="shared" si="0"/>
        <v>ACA14A_NWHST_BYERS</v>
      </c>
      <c r="B14" t="s">
        <v>1776</v>
      </c>
      <c r="C14" t="s">
        <v>1816</v>
      </c>
      <c r="D14" s="15" t="s">
        <v>1293</v>
      </c>
      <c r="E14" s="15" t="s">
        <v>1294</v>
      </c>
      <c r="F14" s="15" t="s">
        <v>1770</v>
      </c>
      <c r="G14" s="78">
        <v>19.670000000000002</v>
      </c>
    </row>
    <row r="15" spans="1:7" x14ac:dyDescent="0.25">
      <c r="A15" s="26" t="str">
        <f t="shared" si="0"/>
        <v>ACA16A_NWHST_BYERS</v>
      </c>
      <c r="B15" t="s">
        <v>1777</v>
      </c>
      <c r="C15" t="s">
        <v>1816</v>
      </c>
      <c r="D15" s="15" t="s">
        <v>1293</v>
      </c>
      <c r="E15" s="15" t="s">
        <v>1294</v>
      </c>
      <c r="F15" s="15" t="s">
        <v>1770</v>
      </c>
      <c r="G15" s="78">
        <v>7.87</v>
      </c>
    </row>
    <row r="16" spans="1:7" x14ac:dyDescent="0.25">
      <c r="A16" s="26" t="str">
        <f t="shared" si="0"/>
        <v>AMH00A_NWHST_BYERS</v>
      </c>
      <c r="B16" t="s">
        <v>1405</v>
      </c>
      <c r="C16" t="s">
        <v>1816</v>
      </c>
      <c r="D16" s="15" t="s">
        <v>1293</v>
      </c>
      <c r="E16" s="15" t="s">
        <v>1294</v>
      </c>
      <c r="F16" s="15" t="s">
        <v>1770</v>
      </c>
      <c r="G16" s="78">
        <v>183.02</v>
      </c>
    </row>
    <row r="17" spans="1:7" x14ac:dyDescent="0.25">
      <c r="A17" s="26" t="str">
        <f t="shared" si="0"/>
        <v>AMH02A_NWHST_BYERS</v>
      </c>
      <c r="B17" t="s">
        <v>1408</v>
      </c>
      <c r="C17" t="s">
        <v>1816</v>
      </c>
      <c r="D17" s="15" t="s">
        <v>1293</v>
      </c>
      <c r="E17" s="15" t="s">
        <v>1294</v>
      </c>
      <c r="F17" s="15" t="s">
        <v>1770</v>
      </c>
      <c r="G17" s="78">
        <v>338.44</v>
      </c>
    </row>
    <row r="18" spans="1:7" x14ac:dyDescent="0.25">
      <c r="A18" s="26" t="str">
        <f t="shared" si="0"/>
        <v>AMH04A_NWHST_BYERS</v>
      </c>
      <c r="B18" t="s">
        <v>1410</v>
      </c>
      <c r="C18" t="s">
        <v>1816</v>
      </c>
      <c r="D18" s="15" t="s">
        <v>1293</v>
      </c>
      <c r="E18" s="15" t="s">
        <v>1294</v>
      </c>
      <c r="F18" s="15" t="s">
        <v>1770</v>
      </c>
      <c r="G18" s="78">
        <v>0.39</v>
      </c>
    </row>
    <row r="19" spans="1:7" x14ac:dyDescent="0.25">
      <c r="A19" s="26" t="str">
        <f t="shared" si="0"/>
        <v>AMH06A_NWHST_BYERS</v>
      </c>
      <c r="B19" t="s">
        <v>1413</v>
      </c>
      <c r="C19" t="s">
        <v>1816</v>
      </c>
      <c r="D19" s="15" t="s">
        <v>1293</v>
      </c>
      <c r="E19" s="15" t="s">
        <v>1294</v>
      </c>
      <c r="F19" s="15" t="s">
        <v>1770</v>
      </c>
      <c r="G19" s="78">
        <v>0.21</v>
      </c>
    </row>
    <row r="20" spans="1:7" x14ac:dyDescent="0.25">
      <c r="A20" s="26" t="str">
        <f t="shared" si="0"/>
        <v>AMH08A_NWHST_BYERS</v>
      </c>
      <c r="B20" t="s">
        <v>1416</v>
      </c>
      <c r="C20" t="s">
        <v>1816</v>
      </c>
      <c r="D20" s="15" t="s">
        <v>1293</v>
      </c>
      <c r="E20" s="15" t="s">
        <v>1294</v>
      </c>
      <c r="F20" s="15" t="s">
        <v>1770</v>
      </c>
      <c r="G20" s="78">
        <v>0.79</v>
      </c>
    </row>
    <row r="21" spans="1:7" x14ac:dyDescent="0.25">
      <c r="A21" s="26" t="str">
        <f t="shared" si="0"/>
        <v>AMH10A_NWHST_BYERS</v>
      </c>
      <c r="B21" t="s">
        <v>1419</v>
      </c>
      <c r="C21" t="s">
        <v>1816</v>
      </c>
      <c r="D21" s="15" t="s">
        <v>1293</v>
      </c>
      <c r="E21" s="15" t="s">
        <v>1294</v>
      </c>
      <c r="F21" s="15" t="s">
        <v>1770</v>
      </c>
      <c r="G21" s="78">
        <v>0.18</v>
      </c>
    </row>
    <row r="22" spans="1:7" x14ac:dyDescent="0.25">
      <c r="A22" s="26" t="str">
        <f t="shared" si="0"/>
        <v>AMH12A_NWHST_BYERS</v>
      </c>
      <c r="B22" t="s">
        <v>1421</v>
      </c>
      <c r="C22" t="s">
        <v>1816</v>
      </c>
      <c r="D22" s="15" t="s">
        <v>1293</v>
      </c>
      <c r="E22" s="15" t="s">
        <v>1294</v>
      </c>
      <c r="F22" s="15" t="s">
        <v>1770</v>
      </c>
      <c r="G22" s="78">
        <v>909.47</v>
      </c>
    </row>
    <row r="23" spans="1:7" x14ac:dyDescent="0.25">
      <c r="A23" s="26" t="str">
        <f t="shared" si="0"/>
        <v>AMH14A_NWHST_BYERS</v>
      </c>
      <c r="B23" t="s">
        <v>1424</v>
      </c>
      <c r="C23" t="s">
        <v>1816</v>
      </c>
      <c r="D23" s="15" t="s">
        <v>1293</v>
      </c>
      <c r="E23" s="15" t="s">
        <v>1294</v>
      </c>
      <c r="F23" s="15" t="s">
        <v>1770</v>
      </c>
      <c r="G23" s="78">
        <v>296.45999999999998</v>
      </c>
    </row>
    <row r="24" spans="1:7" x14ac:dyDescent="0.25">
      <c r="A24" s="26" t="str">
        <f t="shared" si="0"/>
        <v>AMH16A_NWHST_BYERS</v>
      </c>
      <c r="B24" t="s">
        <v>1426</v>
      </c>
      <c r="C24" t="s">
        <v>1816</v>
      </c>
      <c r="D24" s="15" t="s">
        <v>1293</v>
      </c>
      <c r="E24" s="15" t="s">
        <v>1294</v>
      </c>
      <c r="F24" s="15" t="s">
        <v>1770</v>
      </c>
      <c r="G24" s="78">
        <v>60.61</v>
      </c>
    </row>
    <row r="25" spans="1:7" x14ac:dyDescent="0.25">
      <c r="A25" s="26" t="str">
        <f t="shared" si="0"/>
        <v>APO00A_NWHST_BYERS</v>
      </c>
      <c r="B25" t="s">
        <v>1428</v>
      </c>
      <c r="C25" t="s">
        <v>1816</v>
      </c>
      <c r="D25" s="15" t="s">
        <v>1293</v>
      </c>
      <c r="E25" s="15" t="s">
        <v>1294</v>
      </c>
      <c r="F25" s="15" t="s">
        <v>1770</v>
      </c>
      <c r="G25" s="78">
        <v>64.41</v>
      </c>
    </row>
    <row r="26" spans="1:7" x14ac:dyDescent="0.25">
      <c r="A26" s="26" t="str">
        <f t="shared" si="0"/>
        <v>APO02A_NWHST_BYERS</v>
      </c>
      <c r="B26" t="s">
        <v>1430</v>
      </c>
      <c r="C26" t="s">
        <v>1816</v>
      </c>
      <c r="D26" s="15" t="s">
        <v>1293</v>
      </c>
      <c r="E26" s="15" t="s">
        <v>1294</v>
      </c>
      <c r="F26" s="15" t="s">
        <v>1770</v>
      </c>
      <c r="G26" s="78">
        <v>3.29</v>
      </c>
    </row>
    <row r="27" spans="1:7" x14ac:dyDescent="0.25">
      <c r="A27" s="26" t="str">
        <f t="shared" si="0"/>
        <v>ARD00A_NWHST_BYERS</v>
      </c>
      <c r="B27" t="s">
        <v>1432</v>
      </c>
      <c r="C27" t="s">
        <v>1816</v>
      </c>
      <c r="D27" s="15" t="s">
        <v>1293</v>
      </c>
      <c r="E27" s="15" t="s">
        <v>1294</v>
      </c>
      <c r="F27" s="15" t="s">
        <v>1770</v>
      </c>
      <c r="G27" s="78">
        <v>0.11</v>
      </c>
    </row>
    <row r="28" spans="1:7" x14ac:dyDescent="0.25">
      <c r="A28" s="26" t="str">
        <f t="shared" si="0"/>
        <v>ARD02A_NWHST_BYERS</v>
      </c>
      <c r="B28" t="s">
        <v>1435</v>
      </c>
      <c r="C28" t="s">
        <v>1816</v>
      </c>
      <c r="D28" s="15" t="s">
        <v>1293</v>
      </c>
      <c r="E28" s="15" t="s">
        <v>1294</v>
      </c>
      <c r="F28" s="15" t="s">
        <v>1770</v>
      </c>
      <c r="G28" s="78">
        <v>294.57</v>
      </c>
    </row>
    <row r="29" spans="1:7" x14ac:dyDescent="0.25">
      <c r="A29" s="26" t="str">
        <f t="shared" si="0"/>
        <v>ASA00A_NWHST_BYERS</v>
      </c>
      <c r="B29" t="s">
        <v>1438</v>
      </c>
      <c r="C29" t="s">
        <v>1816</v>
      </c>
      <c r="D29" s="15" t="s">
        <v>1293</v>
      </c>
      <c r="E29" s="15" t="s">
        <v>1294</v>
      </c>
      <c r="F29" s="15" t="s">
        <v>1770</v>
      </c>
      <c r="G29" s="78">
        <v>263.52</v>
      </c>
    </row>
    <row r="30" spans="1:7" x14ac:dyDescent="0.25">
      <c r="A30" s="26" t="str">
        <f t="shared" si="0"/>
        <v>ASA02A_NWHST_BYERS</v>
      </c>
      <c r="B30" t="s">
        <v>1441</v>
      </c>
      <c r="C30" t="s">
        <v>1816</v>
      </c>
      <c r="D30" s="15" t="s">
        <v>1293</v>
      </c>
      <c r="E30" s="15" t="s">
        <v>1294</v>
      </c>
      <c r="F30" s="15" t="s">
        <v>1770</v>
      </c>
      <c r="G30" s="78">
        <v>197.64</v>
      </c>
    </row>
    <row r="31" spans="1:7" x14ac:dyDescent="0.25">
      <c r="A31" s="26" t="str">
        <f t="shared" si="0"/>
        <v>ASA04A_NWHST_BYERS</v>
      </c>
      <c r="B31" t="s">
        <v>1783</v>
      </c>
      <c r="C31" t="s">
        <v>1816</v>
      </c>
      <c r="D31" s="15" t="s">
        <v>1293</v>
      </c>
      <c r="E31" s="15" t="s">
        <v>1294</v>
      </c>
      <c r="F31" s="15" t="s">
        <v>1770</v>
      </c>
      <c r="G31" s="78">
        <v>197.64</v>
      </c>
    </row>
    <row r="32" spans="1:7" x14ac:dyDescent="0.25">
      <c r="A32" s="26" t="str">
        <f t="shared" si="0"/>
        <v>ASP00A_NWHST_BYERS</v>
      </c>
      <c r="B32" t="s">
        <v>1443</v>
      </c>
      <c r="C32" t="s">
        <v>1816</v>
      </c>
      <c r="D32" s="15" t="s">
        <v>1293</v>
      </c>
      <c r="E32" s="15" t="s">
        <v>1294</v>
      </c>
      <c r="F32" s="15" t="s">
        <v>1770</v>
      </c>
      <c r="G32" s="78">
        <v>49.41</v>
      </c>
    </row>
    <row r="33" spans="1:7" x14ac:dyDescent="0.25">
      <c r="A33" s="26" t="str">
        <f t="shared" si="0"/>
        <v>ASU00A_NWHST_BYERS</v>
      </c>
      <c r="B33" t="s">
        <v>1445</v>
      </c>
      <c r="C33" t="s">
        <v>1816</v>
      </c>
      <c r="D33" s="15" t="s">
        <v>1293</v>
      </c>
      <c r="E33" s="15" t="s">
        <v>1294</v>
      </c>
      <c r="F33" s="15" t="s">
        <v>1770</v>
      </c>
      <c r="G33" s="78">
        <v>23.06</v>
      </c>
    </row>
    <row r="34" spans="1:7" x14ac:dyDescent="0.25">
      <c r="A34" s="26" t="str">
        <f t="shared" ref="A34:A65" si="1">B34&amp;"_"&amp;C34&amp;"_"&amp;E34</f>
        <v>ASU02A_NWHST_BYERS</v>
      </c>
      <c r="B34" t="s">
        <v>1448</v>
      </c>
      <c r="C34" t="s">
        <v>1816</v>
      </c>
      <c r="D34" s="15" t="s">
        <v>1293</v>
      </c>
      <c r="E34" s="15" t="s">
        <v>1294</v>
      </c>
      <c r="F34" s="15" t="s">
        <v>1770</v>
      </c>
      <c r="G34" s="78">
        <v>98.82</v>
      </c>
    </row>
    <row r="35" spans="1:7" x14ac:dyDescent="0.25">
      <c r="A35" s="26" t="str">
        <f t="shared" si="1"/>
        <v>ATE00A_NWHST_BYERS</v>
      </c>
      <c r="B35" t="s">
        <v>1451</v>
      </c>
      <c r="C35" t="s">
        <v>1816</v>
      </c>
      <c r="D35" s="15" t="s">
        <v>1293</v>
      </c>
      <c r="E35" s="15" t="s">
        <v>1294</v>
      </c>
      <c r="F35" s="15" t="s">
        <v>1770</v>
      </c>
      <c r="G35" s="78">
        <v>47.12</v>
      </c>
    </row>
    <row r="36" spans="1:7" x14ac:dyDescent="0.25">
      <c r="A36" s="26" t="str">
        <f t="shared" si="1"/>
        <v>ADL00A_NWHST_BYERS</v>
      </c>
      <c r="B36" t="s">
        <v>1454</v>
      </c>
      <c r="C36" t="s">
        <v>1816</v>
      </c>
      <c r="D36" s="15" t="s">
        <v>1293</v>
      </c>
      <c r="E36" s="15" t="s">
        <v>1294</v>
      </c>
      <c r="F36" s="15" t="s">
        <v>1770</v>
      </c>
      <c r="G36" s="78">
        <v>572.5</v>
      </c>
    </row>
    <row r="37" spans="1:7" x14ac:dyDescent="0.25">
      <c r="A37" s="26" t="str">
        <f t="shared" si="1"/>
        <v>ADL02A_NWHST_BYERS</v>
      </c>
      <c r="B37" t="s">
        <v>1457</v>
      </c>
      <c r="C37" t="s">
        <v>1816</v>
      </c>
      <c r="D37" s="15" t="s">
        <v>1293</v>
      </c>
      <c r="E37" s="15" t="s">
        <v>1294</v>
      </c>
      <c r="F37" s="15" t="s">
        <v>1770</v>
      </c>
      <c r="G37" s="78">
        <v>189.08</v>
      </c>
    </row>
    <row r="38" spans="1:7" x14ac:dyDescent="0.25">
      <c r="A38" s="26" t="str">
        <f t="shared" si="1"/>
        <v>ADL04A_NWHST_BYERS</v>
      </c>
      <c r="B38" t="s">
        <v>1459</v>
      </c>
      <c r="C38" t="s">
        <v>1816</v>
      </c>
      <c r="D38" s="15" t="s">
        <v>1293</v>
      </c>
      <c r="E38" s="15" t="s">
        <v>1294</v>
      </c>
      <c r="F38" s="15" t="s">
        <v>1770</v>
      </c>
      <c r="G38" s="78">
        <v>112</v>
      </c>
    </row>
    <row r="39" spans="1:7" x14ac:dyDescent="0.25">
      <c r="A39" s="26" t="str">
        <f t="shared" si="1"/>
        <v>ADL06A_NWHST_BYERS</v>
      </c>
      <c r="B39" t="s">
        <v>1461</v>
      </c>
      <c r="C39" t="s">
        <v>1816</v>
      </c>
      <c r="D39" s="15" t="s">
        <v>1293</v>
      </c>
      <c r="E39" s="15" t="s">
        <v>1294</v>
      </c>
      <c r="F39" s="15" t="s">
        <v>1770</v>
      </c>
      <c r="G39" s="78">
        <v>55.21</v>
      </c>
    </row>
    <row r="40" spans="1:7" x14ac:dyDescent="0.25">
      <c r="A40" s="26" t="str">
        <f t="shared" si="1"/>
        <v>ICP00A_NWHST_BYERS</v>
      </c>
      <c r="B40" t="s">
        <v>1463</v>
      </c>
      <c r="C40" t="s">
        <v>1816</v>
      </c>
      <c r="D40" s="15" t="s">
        <v>1293</v>
      </c>
      <c r="E40" s="15" t="s">
        <v>1294</v>
      </c>
      <c r="F40" s="15" t="s">
        <v>1770</v>
      </c>
      <c r="G40" s="78">
        <v>226.8</v>
      </c>
    </row>
    <row r="41" spans="1:7" x14ac:dyDescent="0.25">
      <c r="A41" s="26" t="str">
        <f t="shared" si="1"/>
        <v>ICP02A_NWHST_BYERS</v>
      </c>
      <c r="B41" t="s">
        <v>1465</v>
      </c>
      <c r="C41" t="s">
        <v>1816</v>
      </c>
      <c r="D41" s="15" t="s">
        <v>1293</v>
      </c>
      <c r="E41" s="15" t="s">
        <v>1294</v>
      </c>
      <c r="F41" s="15" t="s">
        <v>1770</v>
      </c>
      <c r="G41" s="78">
        <v>54.43</v>
      </c>
    </row>
    <row r="42" spans="1:7" x14ac:dyDescent="0.25">
      <c r="A42" s="26" t="str">
        <f t="shared" si="1"/>
        <v>ICP04A_NWHST_BYERS</v>
      </c>
      <c r="B42" t="s">
        <v>1467</v>
      </c>
      <c r="C42" t="s">
        <v>1816</v>
      </c>
      <c r="D42" s="15" t="s">
        <v>1293</v>
      </c>
      <c r="E42" s="15" t="s">
        <v>1294</v>
      </c>
      <c r="F42" s="15" t="s">
        <v>1770</v>
      </c>
      <c r="G42" s="78">
        <v>68.040000000000006</v>
      </c>
    </row>
    <row r="43" spans="1:7" x14ac:dyDescent="0.25">
      <c r="A43" s="26" t="str">
        <f t="shared" si="1"/>
        <v>ICP06A_NWHST_BYERS</v>
      </c>
      <c r="B43" t="s">
        <v>1469</v>
      </c>
      <c r="C43" t="s">
        <v>1816</v>
      </c>
      <c r="D43" s="15" t="s">
        <v>1293</v>
      </c>
      <c r="E43" s="15" t="s">
        <v>1294</v>
      </c>
      <c r="F43" s="15" t="s">
        <v>1770</v>
      </c>
      <c r="G43" s="78">
        <v>20.41</v>
      </c>
    </row>
    <row r="44" spans="1:7" x14ac:dyDescent="0.25">
      <c r="A44" s="26" t="str">
        <f t="shared" si="1"/>
        <v>ICP08A_NWHST_BYERS</v>
      </c>
      <c r="B44" t="s">
        <v>1784</v>
      </c>
      <c r="C44" t="s">
        <v>1816</v>
      </c>
      <c r="D44" s="15" t="s">
        <v>1293</v>
      </c>
      <c r="E44" s="15" t="s">
        <v>1294</v>
      </c>
      <c r="F44" s="15" t="s">
        <v>1770</v>
      </c>
      <c r="G44" s="78">
        <v>54.43</v>
      </c>
    </row>
    <row r="45" spans="1:7" x14ac:dyDescent="0.25">
      <c r="A45" s="26" t="str">
        <f t="shared" si="1"/>
        <v>ICP10A_NWHST_BYERS</v>
      </c>
      <c r="B45" t="s">
        <v>1785</v>
      </c>
      <c r="C45" t="s">
        <v>1816</v>
      </c>
      <c r="D45" s="15" t="s">
        <v>1293</v>
      </c>
      <c r="E45" s="15" t="s">
        <v>1294</v>
      </c>
      <c r="F45" s="15" t="s">
        <v>1770</v>
      </c>
      <c r="G45" s="78">
        <v>158.76</v>
      </c>
    </row>
    <row r="46" spans="1:7" x14ac:dyDescent="0.25">
      <c r="A46" s="26" t="str">
        <f t="shared" si="1"/>
        <v>ICP12A_NWHST_BYERS</v>
      </c>
      <c r="B46" t="s">
        <v>1786</v>
      </c>
      <c r="C46" t="s">
        <v>1816</v>
      </c>
      <c r="D46" s="15" t="s">
        <v>1293</v>
      </c>
      <c r="E46" s="15" t="s">
        <v>1294</v>
      </c>
      <c r="F46" s="15" t="s">
        <v>1770</v>
      </c>
      <c r="G46" s="78">
        <v>22.68</v>
      </c>
    </row>
    <row r="47" spans="1:7" x14ac:dyDescent="0.25">
      <c r="A47" s="26" t="str">
        <f t="shared" si="1"/>
        <v>IFI00A_NWHST_BYERS</v>
      </c>
      <c r="B47" t="s">
        <v>1471</v>
      </c>
      <c r="C47" t="s">
        <v>1816</v>
      </c>
      <c r="D47" s="15" t="s">
        <v>1293</v>
      </c>
      <c r="E47" s="15" t="s">
        <v>1294</v>
      </c>
      <c r="F47" s="15" t="s">
        <v>1770</v>
      </c>
      <c r="G47" s="78">
        <v>97.2</v>
      </c>
    </row>
    <row r="48" spans="1:7" x14ac:dyDescent="0.25">
      <c r="A48" s="26" t="str">
        <f t="shared" si="1"/>
        <v>IFI02A_NWHST_BYERS</v>
      </c>
      <c r="B48" t="s">
        <v>1474</v>
      </c>
      <c r="C48" t="s">
        <v>1816</v>
      </c>
      <c r="D48" s="15" t="s">
        <v>1293</v>
      </c>
      <c r="E48" s="15" t="s">
        <v>1294</v>
      </c>
      <c r="F48" s="15" t="s">
        <v>1770</v>
      </c>
      <c r="G48" s="78">
        <v>0.1</v>
      </c>
    </row>
    <row r="49" spans="1:7" x14ac:dyDescent="0.25">
      <c r="A49" s="26" t="str">
        <f t="shared" si="1"/>
        <v>IFI04A_NWHST_BYERS</v>
      </c>
      <c r="B49" t="s">
        <v>1477</v>
      </c>
      <c r="C49" t="s">
        <v>1816</v>
      </c>
      <c r="D49" s="15" t="s">
        <v>1293</v>
      </c>
      <c r="E49" s="15" t="s">
        <v>1294</v>
      </c>
      <c r="F49" s="15" t="s">
        <v>1770</v>
      </c>
      <c r="G49" s="78">
        <v>27.22</v>
      </c>
    </row>
    <row r="50" spans="1:7" x14ac:dyDescent="0.25">
      <c r="A50" s="26" t="str">
        <f t="shared" si="1"/>
        <v>IFI06A_NWHST_BYERS</v>
      </c>
      <c r="B50" t="s">
        <v>1479</v>
      </c>
      <c r="C50" t="s">
        <v>1816</v>
      </c>
      <c r="D50" s="15" t="s">
        <v>1293</v>
      </c>
      <c r="E50" s="15" t="s">
        <v>1294</v>
      </c>
      <c r="F50" s="15" t="s">
        <v>1770</v>
      </c>
      <c r="G50" s="78">
        <v>87.48</v>
      </c>
    </row>
    <row r="51" spans="1:7" x14ac:dyDescent="0.25">
      <c r="A51" s="26" t="str">
        <f t="shared" si="1"/>
        <v>IFI08A_NWHST_BYERS</v>
      </c>
      <c r="B51" t="s">
        <v>1481</v>
      </c>
      <c r="C51" t="s">
        <v>1816</v>
      </c>
      <c r="D51" s="15" t="s">
        <v>1293</v>
      </c>
      <c r="E51" s="15" t="s">
        <v>1294</v>
      </c>
      <c r="F51" s="15" t="s">
        <v>1770</v>
      </c>
      <c r="G51" s="78">
        <v>129.6</v>
      </c>
    </row>
    <row r="52" spans="1:7" x14ac:dyDescent="0.25">
      <c r="A52" s="26" t="str">
        <f t="shared" si="1"/>
        <v>IFI10A_NWHST_BYERS</v>
      </c>
      <c r="B52" t="s">
        <v>1483</v>
      </c>
      <c r="C52" t="s">
        <v>1816</v>
      </c>
      <c r="D52" s="15" t="s">
        <v>1293</v>
      </c>
      <c r="E52" s="15" t="s">
        <v>1294</v>
      </c>
      <c r="F52" s="15" t="s">
        <v>1770</v>
      </c>
      <c r="G52" s="78">
        <v>0.16</v>
      </c>
    </row>
    <row r="53" spans="1:7" x14ac:dyDescent="0.25">
      <c r="A53" s="26" t="str">
        <f t="shared" si="1"/>
        <v>IFI12A_NWHST_BYERS</v>
      </c>
      <c r="B53" t="s">
        <v>1485</v>
      </c>
      <c r="C53" t="s">
        <v>1816</v>
      </c>
      <c r="D53" s="15" t="s">
        <v>1293</v>
      </c>
      <c r="E53" s="15" t="s">
        <v>1294</v>
      </c>
      <c r="F53" s="15" t="s">
        <v>1770</v>
      </c>
      <c r="G53" s="78">
        <v>35.64</v>
      </c>
    </row>
    <row r="54" spans="1:7" x14ac:dyDescent="0.25">
      <c r="A54" s="26" t="str">
        <f t="shared" si="1"/>
        <v>IFI14A_NWHST_BYERS</v>
      </c>
      <c r="B54" t="s">
        <v>1487</v>
      </c>
      <c r="C54" t="s">
        <v>1816</v>
      </c>
      <c r="D54" s="15" t="s">
        <v>1293</v>
      </c>
      <c r="E54" s="15" t="s">
        <v>1294</v>
      </c>
      <c r="F54" s="15" t="s">
        <v>1770</v>
      </c>
      <c r="G54" s="78">
        <v>115.99</v>
      </c>
    </row>
    <row r="55" spans="1:7" x14ac:dyDescent="0.25">
      <c r="A55" s="26" t="str">
        <f t="shared" si="1"/>
        <v>IFI16A_NWHST_BYERS</v>
      </c>
      <c r="B55" t="s">
        <v>1790</v>
      </c>
      <c r="C55" t="s">
        <v>1816</v>
      </c>
      <c r="D55" s="15" t="s">
        <v>1293</v>
      </c>
      <c r="E55" s="15" t="s">
        <v>1294</v>
      </c>
      <c r="F55" s="15" t="s">
        <v>1770</v>
      </c>
      <c r="G55" s="78">
        <v>11.61</v>
      </c>
    </row>
    <row r="56" spans="1:7" x14ac:dyDescent="0.25">
      <c r="A56" s="26" t="str">
        <f t="shared" si="1"/>
        <v>IIN00A_NWHST_BYERS</v>
      </c>
      <c r="B56" t="s">
        <v>1489</v>
      </c>
      <c r="C56" t="s">
        <v>1816</v>
      </c>
      <c r="D56" s="15" t="s">
        <v>1293</v>
      </c>
      <c r="E56" s="15" t="s">
        <v>1294</v>
      </c>
      <c r="F56" s="15" t="s">
        <v>1770</v>
      </c>
      <c r="G56" s="78">
        <v>97.2</v>
      </c>
    </row>
    <row r="57" spans="1:7" x14ac:dyDescent="0.25">
      <c r="A57" s="26" t="str">
        <f t="shared" si="1"/>
        <v>IIN02A_NWHST_BYERS</v>
      </c>
      <c r="B57" t="s">
        <v>1492</v>
      </c>
      <c r="C57" t="s">
        <v>1816</v>
      </c>
      <c r="D57" s="15" t="s">
        <v>1293</v>
      </c>
      <c r="E57" s="15" t="s">
        <v>1294</v>
      </c>
      <c r="F57" s="15" t="s">
        <v>1770</v>
      </c>
      <c r="G57" s="78">
        <v>113.4</v>
      </c>
    </row>
    <row r="58" spans="1:7" x14ac:dyDescent="0.25">
      <c r="A58" s="26" t="str">
        <f t="shared" si="1"/>
        <v>IIN04A_NWHST_BYERS</v>
      </c>
      <c r="B58" t="s">
        <v>1495</v>
      </c>
      <c r="C58" t="s">
        <v>1816</v>
      </c>
      <c r="D58" s="15" t="s">
        <v>1293</v>
      </c>
      <c r="E58" s="15" t="s">
        <v>1294</v>
      </c>
      <c r="F58" s="15" t="s">
        <v>1770</v>
      </c>
      <c r="G58" s="78">
        <v>14.26</v>
      </c>
    </row>
    <row r="59" spans="1:7" x14ac:dyDescent="0.25">
      <c r="A59" s="26" t="str">
        <f t="shared" si="1"/>
        <v>IIN06A_NWHST_BYERS</v>
      </c>
      <c r="B59" t="s">
        <v>1497</v>
      </c>
      <c r="C59" t="s">
        <v>1816</v>
      </c>
      <c r="D59" s="15" t="s">
        <v>1293</v>
      </c>
      <c r="E59" s="15" t="s">
        <v>1294</v>
      </c>
      <c r="F59" s="15" t="s">
        <v>1770</v>
      </c>
      <c r="G59" s="78">
        <v>18.14</v>
      </c>
    </row>
    <row r="60" spans="1:7" x14ac:dyDescent="0.25">
      <c r="A60" s="26" t="str">
        <f t="shared" si="1"/>
        <v>IIN08A_NWHST_BYERS</v>
      </c>
      <c r="B60" t="s">
        <v>1499</v>
      </c>
      <c r="C60" t="s">
        <v>1816</v>
      </c>
      <c r="D60" s="15" t="s">
        <v>1293</v>
      </c>
      <c r="E60" s="15" t="s">
        <v>1294</v>
      </c>
      <c r="F60" s="15" t="s">
        <v>1770</v>
      </c>
      <c r="G60" s="78">
        <v>291.60000000000002</v>
      </c>
    </row>
    <row r="61" spans="1:7" x14ac:dyDescent="0.25">
      <c r="A61" s="26" t="str">
        <f t="shared" si="1"/>
        <v>IIN10A_NWHST_BYERS</v>
      </c>
      <c r="B61" t="s">
        <v>1792</v>
      </c>
      <c r="C61" t="s">
        <v>1816</v>
      </c>
      <c r="D61" s="15" t="s">
        <v>1293</v>
      </c>
      <c r="E61" s="15" t="s">
        <v>1294</v>
      </c>
      <c r="F61" s="15" t="s">
        <v>1770</v>
      </c>
      <c r="G61" s="26" t="s">
        <v>1805</v>
      </c>
    </row>
    <row r="62" spans="1:7" x14ac:dyDescent="0.25">
      <c r="A62" s="26" t="str">
        <f t="shared" si="1"/>
        <v>IIN12A_NWHST_BYERS</v>
      </c>
      <c r="B62" t="s">
        <v>1793</v>
      </c>
      <c r="C62" t="s">
        <v>1816</v>
      </c>
      <c r="D62" s="15" t="s">
        <v>1293</v>
      </c>
      <c r="E62" s="15" t="s">
        <v>1294</v>
      </c>
      <c r="F62" s="15" t="s">
        <v>1770</v>
      </c>
      <c r="G62" s="26" t="s">
        <v>1805</v>
      </c>
    </row>
    <row r="63" spans="1:7" x14ac:dyDescent="0.25">
      <c r="A63" s="26" t="str">
        <f t="shared" si="1"/>
        <v>IPO00A_NWHST_BYERS</v>
      </c>
      <c r="B63" t="s">
        <v>1500</v>
      </c>
      <c r="C63" t="s">
        <v>1816</v>
      </c>
      <c r="D63" s="15" t="s">
        <v>1293</v>
      </c>
      <c r="E63" s="15" t="s">
        <v>1294</v>
      </c>
      <c r="F63" s="15" t="s">
        <v>1770</v>
      </c>
      <c r="G63" s="78">
        <v>48.6</v>
      </c>
    </row>
    <row r="64" spans="1:7" x14ac:dyDescent="0.25">
      <c r="A64" s="26" t="str">
        <f t="shared" si="1"/>
        <v>IPO02A_NWHST_BYERS</v>
      </c>
      <c r="B64" t="s">
        <v>1502</v>
      </c>
      <c r="C64" t="s">
        <v>1816</v>
      </c>
      <c r="D64" s="15" t="s">
        <v>1293</v>
      </c>
      <c r="E64" s="15" t="s">
        <v>1294</v>
      </c>
      <c r="F64" s="15" t="s">
        <v>1770</v>
      </c>
      <c r="G64" s="78">
        <v>23.98</v>
      </c>
    </row>
    <row r="65" spans="1:7" x14ac:dyDescent="0.25">
      <c r="A65" s="26" t="str">
        <f t="shared" si="1"/>
        <v>IPO04A_NWHST_BYERS</v>
      </c>
      <c r="B65" t="s">
        <v>1504</v>
      </c>
      <c r="C65" t="s">
        <v>1816</v>
      </c>
      <c r="D65" s="15" t="s">
        <v>1293</v>
      </c>
      <c r="E65" s="15" t="s">
        <v>1294</v>
      </c>
      <c r="F65" s="15" t="s">
        <v>1770</v>
      </c>
      <c r="G65" s="78">
        <v>68.69</v>
      </c>
    </row>
    <row r="66" spans="1:7" x14ac:dyDescent="0.25">
      <c r="A66" s="26" t="str">
        <f t="shared" ref="A66:A97" si="2">B66&amp;"_"&amp;C66&amp;"_"&amp;E66</f>
        <v>IPO06A_NWHST_BYERS</v>
      </c>
      <c r="B66" t="s">
        <v>1506</v>
      </c>
      <c r="C66" t="s">
        <v>1816</v>
      </c>
      <c r="D66" s="15" t="s">
        <v>1293</v>
      </c>
      <c r="E66" s="15" t="s">
        <v>1294</v>
      </c>
      <c r="F66" s="15" t="s">
        <v>1770</v>
      </c>
      <c r="G66" s="78">
        <v>2.59</v>
      </c>
    </row>
    <row r="67" spans="1:7" x14ac:dyDescent="0.25">
      <c r="A67" s="26" t="str">
        <f t="shared" si="2"/>
        <v>IPO08A_NWHST_BYERS</v>
      </c>
      <c r="B67" t="s">
        <v>1509</v>
      </c>
      <c r="C67" t="s">
        <v>1816</v>
      </c>
      <c r="D67" s="15" t="s">
        <v>1293</v>
      </c>
      <c r="E67" s="15" t="s">
        <v>1294</v>
      </c>
      <c r="F67" s="15" t="s">
        <v>1770</v>
      </c>
      <c r="G67" s="78">
        <v>2.5299999999999998</v>
      </c>
    </row>
    <row r="68" spans="1:7" x14ac:dyDescent="0.25">
      <c r="A68" s="26" t="str">
        <f t="shared" si="2"/>
        <v>IPI00A_NWHST_BYERS</v>
      </c>
      <c r="B68" t="s">
        <v>1511</v>
      </c>
      <c r="C68" t="s">
        <v>1816</v>
      </c>
      <c r="D68" s="15" t="s">
        <v>1293</v>
      </c>
      <c r="E68" s="15" t="s">
        <v>1294</v>
      </c>
      <c r="F68" s="15" t="s">
        <v>1770</v>
      </c>
      <c r="G68" s="78">
        <v>3.08</v>
      </c>
    </row>
    <row r="69" spans="1:7" x14ac:dyDescent="0.25">
      <c r="A69" s="26" t="str">
        <f t="shared" si="2"/>
        <v>IPI02A_NWHST_BYERS</v>
      </c>
      <c r="B69" t="s">
        <v>1513</v>
      </c>
      <c r="C69" t="s">
        <v>1816</v>
      </c>
      <c r="D69" s="15" t="s">
        <v>1293</v>
      </c>
      <c r="E69" s="15" t="s">
        <v>1294</v>
      </c>
      <c r="F69" s="15" t="s">
        <v>1770</v>
      </c>
      <c r="G69" s="78">
        <v>6.16</v>
      </c>
    </row>
    <row r="70" spans="1:7" x14ac:dyDescent="0.25">
      <c r="A70" s="26" t="str">
        <f t="shared" si="2"/>
        <v>ISS00A_NWHST_BYERS</v>
      </c>
      <c r="B70" t="s">
        <v>1515</v>
      </c>
      <c r="C70" t="s">
        <v>1816</v>
      </c>
      <c r="D70" s="15" t="s">
        <v>1293</v>
      </c>
      <c r="E70" s="15" t="s">
        <v>1294</v>
      </c>
      <c r="F70" s="15" t="s">
        <v>1770</v>
      </c>
      <c r="G70" s="78">
        <v>27.22</v>
      </c>
    </row>
    <row r="71" spans="1:7" x14ac:dyDescent="0.25">
      <c r="A71" s="26" t="str">
        <f t="shared" si="2"/>
        <v>ISS02A_NWHST_BYERS</v>
      </c>
      <c r="B71" t="s">
        <v>1517</v>
      </c>
      <c r="C71" t="s">
        <v>1816</v>
      </c>
      <c r="D71" s="15" t="s">
        <v>1293</v>
      </c>
      <c r="E71" s="15" t="s">
        <v>1294</v>
      </c>
      <c r="F71" s="15" t="s">
        <v>1770</v>
      </c>
      <c r="G71" s="78">
        <v>66.099999999999994</v>
      </c>
    </row>
    <row r="72" spans="1:7" x14ac:dyDescent="0.25">
      <c r="A72" s="26" t="str">
        <f t="shared" si="2"/>
        <v>TPE00A_NWHST_BYERS</v>
      </c>
      <c r="B72" t="s">
        <v>1520</v>
      </c>
      <c r="C72" t="s">
        <v>1816</v>
      </c>
      <c r="D72" s="15" t="s">
        <v>1293</v>
      </c>
      <c r="E72" s="15" t="s">
        <v>1294</v>
      </c>
      <c r="F72" s="15" t="s">
        <v>1770</v>
      </c>
      <c r="G72" s="78">
        <v>65.290000000000006</v>
      </c>
    </row>
    <row r="73" spans="1:7" x14ac:dyDescent="0.25">
      <c r="A73" s="26" t="str">
        <f t="shared" si="2"/>
        <v>TPE02A_NWHST_BYERS</v>
      </c>
      <c r="B73" t="s">
        <v>1522</v>
      </c>
      <c r="C73" t="s">
        <v>1816</v>
      </c>
      <c r="D73" s="15" t="s">
        <v>1293</v>
      </c>
      <c r="E73" s="15" t="s">
        <v>1294</v>
      </c>
      <c r="F73" s="15" t="s">
        <v>1770</v>
      </c>
      <c r="G73" s="78">
        <v>87.89</v>
      </c>
    </row>
    <row r="74" spans="1:7" x14ac:dyDescent="0.25">
      <c r="A74" s="26" t="str">
        <f t="shared" si="2"/>
        <v>TPE04A_NWHST_BYERS</v>
      </c>
      <c r="B74" t="s">
        <v>1524</v>
      </c>
      <c r="C74" t="s">
        <v>1816</v>
      </c>
      <c r="D74" s="15" t="s">
        <v>1293</v>
      </c>
      <c r="E74" s="15" t="s">
        <v>1294</v>
      </c>
      <c r="F74" s="15" t="s">
        <v>1770</v>
      </c>
      <c r="G74" s="78">
        <v>0.73</v>
      </c>
    </row>
    <row r="75" spans="1:7" x14ac:dyDescent="0.25">
      <c r="A75" s="26" t="str">
        <f t="shared" si="2"/>
        <v>TPE06A_NWHST_BYERS</v>
      </c>
      <c r="B75" t="s">
        <v>1526</v>
      </c>
      <c r="C75" t="s">
        <v>1816</v>
      </c>
      <c r="D75" s="15" t="s">
        <v>1293</v>
      </c>
      <c r="E75" s="15" t="s">
        <v>1294</v>
      </c>
      <c r="F75" s="15" t="s">
        <v>1770</v>
      </c>
      <c r="G75" s="78">
        <v>0.47</v>
      </c>
    </row>
    <row r="76" spans="1:7" x14ac:dyDescent="0.25">
      <c r="A76" s="26" t="str">
        <f t="shared" si="2"/>
        <v>TCP00A_NWHST_BYERS</v>
      </c>
      <c r="B76" t="s">
        <v>1529</v>
      </c>
      <c r="C76" t="s">
        <v>1816</v>
      </c>
      <c r="D76" s="15" t="s">
        <v>1293</v>
      </c>
      <c r="E76" s="15" t="s">
        <v>1294</v>
      </c>
      <c r="F76" s="15" t="s">
        <v>1770</v>
      </c>
      <c r="G76" s="78">
        <v>95.42</v>
      </c>
    </row>
    <row r="77" spans="1:7" x14ac:dyDescent="0.25">
      <c r="A77" s="26" t="str">
        <f t="shared" si="2"/>
        <v>TOP00A_NWHST_BYERS</v>
      </c>
      <c r="B77" t="s">
        <v>1532</v>
      </c>
      <c r="C77" t="s">
        <v>1816</v>
      </c>
      <c r="D77" s="15" t="s">
        <v>1293</v>
      </c>
      <c r="E77" s="15" t="s">
        <v>1294</v>
      </c>
      <c r="F77" s="15" t="s">
        <v>1770</v>
      </c>
      <c r="G77" s="78">
        <v>141.62</v>
      </c>
    </row>
    <row r="78" spans="1:7" x14ac:dyDescent="0.25">
      <c r="A78" s="26" t="str">
        <f t="shared" si="2"/>
        <v>TOP02A_NWHST_BYERS</v>
      </c>
      <c r="B78" t="s">
        <v>1535</v>
      </c>
      <c r="C78" t="s">
        <v>1816</v>
      </c>
      <c r="D78" s="15" t="s">
        <v>1293</v>
      </c>
      <c r="E78" s="15" t="s">
        <v>1294</v>
      </c>
      <c r="F78" s="15" t="s">
        <v>1770</v>
      </c>
      <c r="G78" s="78">
        <v>57.75</v>
      </c>
    </row>
    <row r="79" spans="1:7" x14ac:dyDescent="0.25">
      <c r="A79" s="26" t="str">
        <f t="shared" si="2"/>
        <v>TOP04A_NWHST_BYERS</v>
      </c>
      <c r="B79" t="s">
        <v>1537</v>
      </c>
      <c r="C79" t="s">
        <v>1816</v>
      </c>
      <c r="D79" s="15" t="s">
        <v>1293</v>
      </c>
      <c r="E79" s="15" t="s">
        <v>1294</v>
      </c>
      <c r="F79" s="15" t="s">
        <v>1770</v>
      </c>
      <c r="G79" s="78">
        <v>36.159999999999997</v>
      </c>
    </row>
    <row r="80" spans="1:7" x14ac:dyDescent="0.25">
      <c r="A80" s="26" t="str">
        <f t="shared" si="2"/>
        <v>T0P06A_NWHST_BYERS</v>
      </c>
      <c r="B80" t="s">
        <v>1540</v>
      </c>
      <c r="C80" t="s">
        <v>1816</v>
      </c>
      <c r="D80" s="15" t="s">
        <v>1293</v>
      </c>
      <c r="E80" s="15" t="s">
        <v>1294</v>
      </c>
      <c r="F80" s="15" t="s">
        <v>1770</v>
      </c>
      <c r="G80" s="78" t="s">
        <v>1805</v>
      </c>
    </row>
    <row r="81" spans="1:7" x14ac:dyDescent="0.25">
      <c r="A81" s="26" t="str">
        <f t="shared" si="2"/>
        <v>TOP08A_NWHST_BYERS</v>
      </c>
      <c r="B81" t="s">
        <v>1542</v>
      </c>
      <c r="C81" t="s">
        <v>1816</v>
      </c>
      <c r="D81" s="15" t="s">
        <v>1293</v>
      </c>
      <c r="E81" s="15" t="s">
        <v>1294</v>
      </c>
      <c r="F81" s="15" t="s">
        <v>1770</v>
      </c>
      <c r="G81" s="78">
        <v>0.78</v>
      </c>
    </row>
    <row r="82" spans="1:7" x14ac:dyDescent="0.25">
      <c r="A82" s="26" t="str">
        <f t="shared" si="2"/>
        <v>TPS00A_NWHST_BYERS</v>
      </c>
      <c r="B82" t="s">
        <v>1544</v>
      </c>
      <c r="C82" t="s">
        <v>1816</v>
      </c>
      <c r="D82" s="15" t="s">
        <v>1293</v>
      </c>
      <c r="E82" s="15" t="s">
        <v>1294</v>
      </c>
      <c r="F82" s="15" t="s">
        <v>1770</v>
      </c>
      <c r="G82" s="78">
        <v>150.66</v>
      </c>
    </row>
    <row r="83" spans="1:7" x14ac:dyDescent="0.25">
      <c r="A83" s="26" t="str">
        <f t="shared" si="2"/>
        <v>DCA00A_NWHST_BYERS</v>
      </c>
      <c r="B83" t="s">
        <v>1574</v>
      </c>
      <c r="C83" t="s">
        <v>1816</v>
      </c>
      <c r="D83" s="15" t="s">
        <v>1293</v>
      </c>
      <c r="E83" s="15" t="s">
        <v>1294</v>
      </c>
      <c r="F83" s="15" t="s">
        <v>1770</v>
      </c>
      <c r="G83" s="78">
        <v>0.8</v>
      </c>
    </row>
    <row r="84" spans="1:7" x14ac:dyDescent="0.25">
      <c r="A84" s="26" t="str">
        <f t="shared" si="2"/>
        <v>DCA02A_NWHST_BYERS</v>
      </c>
      <c r="B84" t="s">
        <v>1576</v>
      </c>
      <c r="C84" t="s">
        <v>1816</v>
      </c>
      <c r="D84" s="15" t="s">
        <v>1293</v>
      </c>
      <c r="E84" s="15" t="s">
        <v>1294</v>
      </c>
      <c r="F84" s="15" t="s">
        <v>1770</v>
      </c>
      <c r="G84" s="78">
        <v>0</v>
      </c>
    </row>
    <row r="85" spans="1:7" x14ac:dyDescent="0.25">
      <c r="A85" s="26" t="str">
        <f t="shared" si="2"/>
        <v>DCA04A_NWHST_BYERS</v>
      </c>
      <c r="B85" t="s">
        <v>1578</v>
      </c>
      <c r="C85" t="s">
        <v>1816</v>
      </c>
      <c r="D85" s="15" t="s">
        <v>1293</v>
      </c>
      <c r="E85" s="15" t="s">
        <v>1294</v>
      </c>
      <c r="F85" s="15" t="s">
        <v>1770</v>
      </c>
      <c r="G85" s="78">
        <v>0.35</v>
      </c>
    </row>
    <row r="86" spans="1:7" x14ac:dyDescent="0.25">
      <c r="A86" s="26" t="str">
        <f t="shared" si="2"/>
        <v>DCA06A_NWHST_BYERS</v>
      </c>
      <c r="B86" t="s">
        <v>1580</v>
      </c>
      <c r="C86" t="s">
        <v>1816</v>
      </c>
      <c r="D86" s="15" t="s">
        <v>1293</v>
      </c>
      <c r="E86" s="15" t="s">
        <v>1294</v>
      </c>
      <c r="F86" s="15" t="s">
        <v>1770</v>
      </c>
      <c r="G86" s="78">
        <v>1.48</v>
      </c>
    </row>
    <row r="87" spans="1:7" x14ac:dyDescent="0.25">
      <c r="A87" s="26" t="str">
        <f t="shared" si="2"/>
        <v>DCA08A_NWHST_BYERS</v>
      </c>
      <c r="B87" t="s">
        <v>1582</v>
      </c>
      <c r="C87" t="s">
        <v>1816</v>
      </c>
      <c r="D87" s="15" t="s">
        <v>1293</v>
      </c>
      <c r="E87" s="15" t="s">
        <v>1294</v>
      </c>
      <c r="F87" s="15" t="s">
        <v>1770</v>
      </c>
      <c r="G87" s="78">
        <v>0</v>
      </c>
    </row>
    <row r="88" spans="1:7" x14ac:dyDescent="0.25">
      <c r="A88" s="26" t="str">
        <f t="shared" si="2"/>
        <v>DCA10A_NWHST_BYERS</v>
      </c>
      <c r="B88" t="s">
        <v>1584</v>
      </c>
      <c r="C88" t="s">
        <v>1816</v>
      </c>
      <c r="D88" s="15" t="s">
        <v>1293</v>
      </c>
      <c r="E88" s="15" t="s">
        <v>1294</v>
      </c>
      <c r="F88" s="15" t="s">
        <v>1770</v>
      </c>
      <c r="G88" s="78">
        <v>0</v>
      </c>
    </row>
    <row r="89" spans="1:7" x14ac:dyDescent="0.25">
      <c r="A89" s="26" t="str">
        <f t="shared" si="2"/>
        <v>DCA12A_NWHST_BYERS</v>
      </c>
      <c r="B89" t="s">
        <v>1586</v>
      </c>
      <c r="C89" t="s">
        <v>1816</v>
      </c>
      <c r="D89" s="15" t="s">
        <v>1293</v>
      </c>
      <c r="E89" s="15" t="s">
        <v>1294</v>
      </c>
      <c r="F89" s="15" t="s">
        <v>1770</v>
      </c>
      <c r="G89" s="78">
        <v>0</v>
      </c>
    </row>
    <row r="90" spans="1:7" x14ac:dyDescent="0.25">
      <c r="A90" s="26" t="str">
        <f t="shared" si="2"/>
        <v>DCA14A_NWHST_BYERS</v>
      </c>
      <c r="B90" t="s">
        <v>1588</v>
      </c>
      <c r="C90" t="s">
        <v>1816</v>
      </c>
      <c r="D90" s="15" t="s">
        <v>1293</v>
      </c>
      <c r="E90" s="15" t="s">
        <v>1294</v>
      </c>
      <c r="F90" s="15" t="s">
        <v>1770</v>
      </c>
      <c r="G90" s="78">
        <v>0.56000000000000005</v>
      </c>
    </row>
    <row r="91" spans="1:7" x14ac:dyDescent="0.25">
      <c r="A91" s="26" t="str">
        <f t="shared" si="2"/>
        <v>DCA16A_NWHST_BYERS</v>
      </c>
      <c r="B91" t="s">
        <v>1590</v>
      </c>
      <c r="C91" t="s">
        <v>1816</v>
      </c>
      <c r="D91" s="15" t="s">
        <v>1293</v>
      </c>
      <c r="E91" s="15" t="s">
        <v>1294</v>
      </c>
      <c r="F91" s="15" t="s">
        <v>1770</v>
      </c>
      <c r="G91" s="78">
        <v>2.17</v>
      </c>
    </row>
    <row r="92" spans="1:7" x14ac:dyDescent="0.25">
      <c r="A92" s="26" t="str">
        <f t="shared" si="2"/>
        <v>ODA00A_NWHST_BYERS</v>
      </c>
      <c r="B92" t="s">
        <v>1592</v>
      </c>
      <c r="C92" t="s">
        <v>1816</v>
      </c>
      <c r="D92" s="15" t="s">
        <v>1293</v>
      </c>
      <c r="E92" s="15" t="s">
        <v>1294</v>
      </c>
      <c r="F92" s="15" t="s">
        <v>1770</v>
      </c>
      <c r="G92" s="78">
        <v>3.73</v>
      </c>
    </row>
    <row r="93" spans="1:7" x14ac:dyDescent="0.25">
      <c r="A93" s="26" t="str">
        <f t="shared" si="2"/>
        <v>ODA02A_NWHST_BYERS</v>
      </c>
      <c r="B93" t="s">
        <v>1595</v>
      </c>
      <c r="C93" t="s">
        <v>1816</v>
      </c>
      <c r="D93" s="15" t="s">
        <v>1293</v>
      </c>
      <c r="E93" s="15" t="s">
        <v>1294</v>
      </c>
      <c r="F93" s="15" t="s">
        <v>1770</v>
      </c>
      <c r="G93" s="78">
        <v>0.81</v>
      </c>
    </row>
    <row r="94" spans="1:7" x14ac:dyDescent="0.25">
      <c r="A94" s="26" t="str">
        <f t="shared" si="2"/>
        <v>ODA04A_NWHST_BYERS</v>
      </c>
      <c r="B94" t="s">
        <v>1598</v>
      </c>
      <c r="C94" t="s">
        <v>1816</v>
      </c>
      <c r="D94" s="15" t="s">
        <v>1293</v>
      </c>
      <c r="E94" s="15" t="s">
        <v>1294</v>
      </c>
      <c r="F94" s="15" t="s">
        <v>1770</v>
      </c>
      <c r="G94" s="78">
        <v>0.05</v>
      </c>
    </row>
    <row r="95" spans="1:7" x14ac:dyDescent="0.25">
      <c r="A95" s="26" t="str">
        <f t="shared" si="2"/>
        <v>ODA06A_NWHST_BYERS</v>
      </c>
      <c r="B95" t="s">
        <v>1601</v>
      </c>
      <c r="C95" t="s">
        <v>1816</v>
      </c>
      <c r="D95" s="15" t="s">
        <v>1293</v>
      </c>
      <c r="E95" s="15" t="s">
        <v>1294</v>
      </c>
      <c r="F95" s="15" t="s">
        <v>1770</v>
      </c>
      <c r="G95" s="78">
        <v>0.01</v>
      </c>
    </row>
    <row r="96" spans="1:7" x14ac:dyDescent="0.25">
      <c r="A96" s="26" t="str">
        <f t="shared" si="2"/>
        <v>ODA08A_NWHST_BYERS</v>
      </c>
      <c r="B96" t="s">
        <v>1604</v>
      </c>
      <c r="C96" t="s">
        <v>1816</v>
      </c>
      <c r="D96" s="15" t="s">
        <v>1293</v>
      </c>
      <c r="E96" s="15" t="s">
        <v>1294</v>
      </c>
      <c r="F96" s="15" t="s">
        <v>1770</v>
      </c>
      <c r="G96" s="78">
        <v>0.01</v>
      </c>
    </row>
    <row r="97" spans="1:7" x14ac:dyDescent="0.25">
      <c r="A97" s="26" t="str">
        <f t="shared" si="2"/>
        <v>SAC00A_NWHST_BYERS</v>
      </c>
      <c r="B97" t="s">
        <v>1607</v>
      </c>
      <c r="C97" t="s">
        <v>1816</v>
      </c>
      <c r="D97" s="15" t="s">
        <v>1293</v>
      </c>
      <c r="E97" s="15" t="s">
        <v>1294</v>
      </c>
      <c r="F97" s="15" t="s">
        <v>1770</v>
      </c>
      <c r="G97" s="78">
        <v>1.97</v>
      </c>
    </row>
    <row r="98" spans="1:7" x14ac:dyDescent="0.25">
      <c r="A98" s="26" t="str">
        <f t="shared" ref="A98:A129" si="3">B98&amp;"_"&amp;C98&amp;"_"&amp;E98</f>
        <v>SAC02A_NWHST_BYERS</v>
      </c>
      <c r="B98" t="s">
        <v>1609</v>
      </c>
      <c r="C98" t="s">
        <v>1816</v>
      </c>
      <c r="D98" s="15" t="s">
        <v>1293</v>
      </c>
      <c r="E98" s="15" t="s">
        <v>1294</v>
      </c>
      <c r="F98" s="15" t="s">
        <v>1770</v>
      </c>
      <c r="G98" s="78">
        <v>1.53</v>
      </c>
    </row>
    <row r="99" spans="1:7" x14ac:dyDescent="0.25">
      <c r="A99" s="26" t="str">
        <f t="shared" si="3"/>
        <v>SAC04A_NWHST_BYERS</v>
      </c>
      <c r="B99" t="s">
        <v>1611</v>
      </c>
      <c r="C99" t="s">
        <v>1816</v>
      </c>
      <c r="D99" s="15" t="s">
        <v>1293</v>
      </c>
      <c r="E99" s="15" t="s">
        <v>1294</v>
      </c>
      <c r="F99" s="15" t="s">
        <v>1770</v>
      </c>
      <c r="G99" s="78">
        <v>0.38</v>
      </c>
    </row>
    <row r="100" spans="1:7" x14ac:dyDescent="0.25">
      <c r="A100" s="26" t="str">
        <f t="shared" si="3"/>
        <v>SAE00A_NWHST_BYERS</v>
      </c>
      <c r="B100" t="s">
        <v>1613</v>
      </c>
      <c r="C100" t="s">
        <v>1816</v>
      </c>
      <c r="D100" s="15" t="s">
        <v>1293</v>
      </c>
      <c r="E100" s="15" t="s">
        <v>1294</v>
      </c>
      <c r="F100" s="15" t="s">
        <v>1770</v>
      </c>
      <c r="G100" s="78">
        <v>0.41</v>
      </c>
    </row>
    <row r="101" spans="1:7" x14ac:dyDescent="0.25">
      <c r="A101" s="26" t="str">
        <f t="shared" si="3"/>
        <v>SAE02A_NWHST_BYERS</v>
      </c>
      <c r="B101" t="s">
        <v>1797</v>
      </c>
      <c r="C101" t="s">
        <v>1816</v>
      </c>
      <c r="D101" s="15" t="s">
        <v>1293</v>
      </c>
      <c r="E101" s="15" t="s">
        <v>1294</v>
      </c>
      <c r="F101" s="15" t="s">
        <v>1770</v>
      </c>
      <c r="G101" s="26" t="s">
        <v>1805</v>
      </c>
    </row>
    <row r="102" spans="1:7" x14ac:dyDescent="0.25">
      <c r="A102" s="26" t="str">
        <f t="shared" si="3"/>
        <v>SAE04A_NWHST_BYERS</v>
      </c>
      <c r="B102" t="s">
        <v>1798</v>
      </c>
      <c r="C102" t="s">
        <v>1816</v>
      </c>
      <c r="D102" s="15" t="s">
        <v>1293</v>
      </c>
      <c r="E102" s="15" t="s">
        <v>1294</v>
      </c>
      <c r="F102" s="15" t="s">
        <v>1770</v>
      </c>
      <c r="G102" s="26" t="s">
        <v>1805</v>
      </c>
    </row>
    <row r="103" spans="1:7" x14ac:dyDescent="0.25">
      <c r="A103" s="26" t="str">
        <f t="shared" si="3"/>
        <v>SUG00A_NWHST_BYERS</v>
      </c>
      <c r="B103" t="s">
        <v>1615</v>
      </c>
      <c r="C103" t="s">
        <v>1816</v>
      </c>
      <c r="D103" s="15" t="s">
        <v>1293</v>
      </c>
      <c r="E103" s="15" t="s">
        <v>1294</v>
      </c>
      <c r="F103" s="15" t="s">
        <v>1770</v>
      </c>
      <c r="G103" s="78">
        <v>2.84</v>
      </c>
    </row>
    <row r="104" spans="1:7" x14ac:dyDescent="0.25">
      <c r="A104" s="26" t="str">
        <f t="shared" si="3"/>
        <v>SUG02A_NWHST_BYERS</v>
      </c>
      <c r="B104" t="s">
        <v>1617</v>
      </c>
      <c r="C104" t="s">
        <v>1816</v>
      </c>
      <c r="D104" s="15" t="s">
        <v>1293</v>
      </c>
      <c r="E104" s="15" t="s">
        <v>1294</v>
      </c>
      <c r="F104" s="15" t="s">
        <v>1770</v>
      </c>
      <c r="G104" s="78">
        <v>0.28000000000000003</v>
      </c>
    </row>
    <row r="105" spans="1:7" x14ac:dyDescent="0.25">
      <c r="A105" s="26" t="str">
        <f t="shared" si="3"/>
        <v>SUG02A_NWHST_BYERS</v>
      </c>
      <c r="B105" t="s">
        <v>1617</v>
      </c>
      <c r="C105" t="s">
        <v>1816</v>
      </c>
      <c r="D105" s="15" t="s">
        <v>1293</v>
      </c>
      <c r="E105" s="15" t="s">
        <v>1294</v>
      </c>
      <c r="F105" s="15" t="s">
        <v>1770</v>
      </c>
      <c r="G105" s="78">
        <v>0.28000000000000003</v>
      </c>
    </row>
    <row r="106" spans="1:7" x14ac:dyDescent="0.25">
      <c r="A106" s="26" t="str">
        <f t="shared" si="3"/>
        <v>ROW00A_NWHST_BYERS</v>
      </c>
      <c r="B106" t="s">
        <v>1619</v>
      </c>
      <c r="C106" t="s">
        <v>1816</v>
      </c>
      <c r="D106" s="15" t="s">
        <v>1293</v>
      </c>
      <c r="E106" s="15" t="s">
        <v>1294</v>
      </c>
      <c r="F106" s="15" t="s">
        <v>1770</v>
      </c>
      <c r="G106" s="78">
        <v>3.56</v>
      </c>
    </row>
    <row r="107" spans="1:7" x14ac:dyDescent="0.25">
      <c r="A107" s="26" t="str">
        <f t="shared" si="3"/>
        <v>ROW02A_NWHST_BYERS</v>
      </c>
      <c r="B107" s="26" t="s">
        <v>1621</v>
      </c>
      <c r="C107" t="s">
        <v>1816</v>
      </c>
      <c r="D107" s="15" t="s">
        <v>1293</v>
      </c>
      <c r="E107" s="15" t="s">
        <v>1294</v>
      </c>
      <c r="F107" s="15" t="s">
        <v>1770</v>
      </c>
      <c r="G107" s="79">
        <v>14.04</v>
      </c>
    </row>
    <row r="108" spans="1:7" x14ac:dyDescent="0.25">
      <c r="A108" s="26" t="str">
        <f t="shared" si="3"/>
        <v>ROW04A_NWHST_BYERS</v>
      </c>
      <c r="B108" s="26" t="s">
        <v>1623</v>
      </c>
      <c r="C108" t="s">
        <v>1816</v>
      </c>
      <c r="D108" s="15" t="s">
        <v>1293</v>
      </c>
      <c r="E108" s="15" t="s">
        <v>1294</v>
      </c>
      <c r="F108" s="15" t="s">
        <v>1770</v>
      </c>
      <c r="G108" s="79">
        <v>9.18</v>
      </c>
    </row>
    <row r="109" spans="1:7" x14ac:dyDescent="0.25">
      <c r="A109" s="26" t="str">
        <f t="shared" si="3"/>
        <v>ROW06A_NWHST_BYERS</v>
      </c>
      <c r="B109" s="26" t="s">
        <v>1625</v>
      </c>
      <c r="C109" t="s">
        <v>1816</v>
      </c>
      <c r="D109" s="15" t="s">
        <v>1293</v>
      </c>
      <c r="E109" s="15" t="s">
        <v>1294</v>
      </c>
      <c r="F109" s="15" t="s">
        <v>1770</v>
      </c>
      <c r="G109" s="79">
        <v>8.86</v>
      </c>
    </row>
    <row r="110" spans="1:7" x14ac:dyDescent="0.25">
      <c r="A110" s="26" t="str">
        <f t="shared" si="3"/>
        <v>ROW08A_NWHST_BYERS</v>
      </c>
      <c r="B110" s="26" t="s">
        <v>1627</v>
      </c>
      <c r="C110" t="s">
        <v>1816</v>
      </c>
      <c r="D110" s="15" t="s">
        <v>1293</v>
      </c>
      <c r="E110" s="15" t="s">
        <v>1294</v>
      </c>
      <c r="F110" s="15" t="s">
        <v>1770</v>
      </c>
      <c r="G110" s="79">
        <v>12.74</v>
      </c>
    </row>
    <row r="111" spans="1:7" x14ac:dyDescent="0.25">
      <c r="A111" s="26" t="str">
        <f t="shared" si="3"/>
        <v>ROW10A_NWHST_BYERS</v>
      </c>
      <c r="B111" s="26" t="s">
        <v>1629</v>
      </c>
      <c r="C111" t="s">
        <v>1816</v>
      </c>
      <c r="D111" s="15" t="s">
        <v>1293</v>
      </c>
      <c r="E111" s="15" t="s">
        <v>1294</v>
      </c>
      <c r="F111" s="15" t="s">
        <v>1770</v>
      </c>
      <c r="G111" s="79">
        <v>3.46</v>
      </c>
    </row>
    <row r="112" spans="1:7" x14ac:dyDescent="0.25">
      <c r="A112" s="26" t="str">
        <f t="shared" si="3"/>
        <v>ROW12A_NWHST_BYERS</v>
      </c>
      <c r="B112" s="26" t="s">
        <v>1631</v>
      </c>
      <c r="C112" t="s">
        <v>1816</v>
      </c>
      <c r="D112" s="15" t="s">
        <v>1293</v>
      </c>
      <c r="E112" s="15" t="s">
        <v>1294</v>
      </c>
      <c r="F112" s="15" t="s">
        <v>1770</v>
      </c>
      <c r="G112" s="79">
        <v>2.16</v>
      </c>
    </row>
    <row r="113" spans="1:7" x14ac:dyDescent="0.25">
      <c r="A113" s="26" t="str">
        <f t="shared" si="3"/>
        <v>ROW14A_NWHST_BYERS</v>
      </c>
      <c r="B113" s="26" t="s">
        <v>1633</v>
      </c>
      <c r="C113" t="s">
        <v>1816</v>
      </c>
      <c r="D113" s="15" t="s">
        <v>1293</v>
      </c>
      <c r="E113" s="15" t="s">
        <v>1294</v>
      </c>
      <c r="F113" s="15" t="s">
        <v>1770</v>
      </c>
      <c r="G113" s="79">
        <v>10.58</v>
      </c>
    </row>
    <row r="114" spans="1:7" x14ac:dyDescent="0.25">
      <c r="A114" s="26" t="str">
        <f t="shared" si="3"/>
        <v>ROW16A_NWHST_BYERS</v>
      </c>
      <c r="B114" s="26" t="s">
        <v>1635</v>
      </c>
      <c r="C114" t="s">
        <v>1816</v>
      </c>
      <c r="D114" s="15" t="s">
        <v>1293</v>
      </c>
      <c r="E114" s="15" t="s">
        <v>1294</v>
      </c>
      <c r="F114" s="15" t="s">
        <v>1770</v>
      </c>
      <c r="G114" s="79">
        <v>5.89</v>
      </c>
    </row>
    <row r="115" spans="1:7" x14ac:dyDescent="0.25">
      <c r="A115" s="26" t="str">
        <f t="shared" si="3"/>
        <v>ROW18A_NWHST_BYERS</v>
      </c>
      <c r="B115" s="26" t="s">
        <v>1637</v>
      </c>
      <c r="C115" t="s">
        <v>1816</v>
      </c>
      <c r="D115" s="15" t="s">
        <v>1293</v>
      </c>
      <c r="E115" s="15" t="s">
        <v>1294</v>
      </c>
      <c r="F115" s="15" t="s">
        <v>1770</v>
      </c>
      <c r="G115" s="79">
        <v>7.18</v>
      </c>
    </row>
    <row r="116" spans="1:7" x14ac:dyDescent="0.25">
      <c r="A116" s="26" t="str">
        <f t="shared" si="3"/>
        <v>ROW20A_NWHST_BYERS</v>
      </c>
      <c r="B116" s="26" t="s">
        <v>1639</v>
      </c>
      <c r="C116" t="s">
        <v>1816</v>
      </c>
      <c r="D116" s="15" t="s">
        <v>1293</v>
      </c>
      <c r="E116" s="15" t="s">
        <v>1294</v>
      </c>
      <c r="F116" s="15" t="s">
        <v>1770</v>
      </c>
      <c r="G116" s="79">
        <v>4.22</v>
      </c>
    </row>
    <row r="117" spans="1:7" x14ac:dyDescent="0.25">
      <c r="A117" s="26" t="str">
        <f t="shared" si="3"/>
        <v>ROW22A_NWHST_BYERS</v>
      </c>
      <c r="B117" s="26" t="s">
        <v>1641</v>
      </c>
      <c r="C117" t="s">
        <v>1816</v>
      </c>
      <c r="D117" s="15" t="s">
        <v>1293</v>
      </c>
      <c r="E117" s="15" t="s">
        <v>1294</v>
      </c>
      <c r="F117" s="15" t="s">
        <v>1770</v>
      </c>
      <c r="G117" s="79">
        <v>6.38</v>
      </c>
    </row>
    <row r="118" spans="1:7" x14ac:dyDescent="0.25">
      <c r="A118" s="26" t="str">
        <f t="shared" si="3"/>
        <v>ROW24A_NWHST_BYERS</v>
      </c>
      <c r="B118" s="26" t="s">
        <v>1643</v>
      </c>
      <c r="C118" t="s">
        <v>1816</v>
      </c>
      <c r="D118" s="15" t="s">
        <v>1293</v>
      </c>
      <c r="E118" s="15" t="s">
        <v>1294</v>
      </c>
      <c r="F118" s="15" t="s">
        <v>1770</v>
      </c>
      <c r="G118" s="79">
        <v>1.05</v>
      </c>
    </row>
    <row r="119" spans="1:7" x14ac:dyDescent="0.25">
      <c r="A119" s="26" t="str">
        <f t="shared" si="3"/>
        <v>ROW26A_NWHST_BYERS</v>
      </c>
      <c r="B119" s="26" t="s">
        <v>1646</v>
      </c>
      <c r="C119" t="s">
        <v>1816</v>
      </c>
      <c r="D119" s="15" t="s">
        <v>1293</v>
      </c>
      <c r="E119" s="15" t="s">
        <v>1294</v>
      </c>
      <c r="F119" s="15" t="s">
        <v>1770</v>
      </c>
      <c r="G119" s="79">
        <v>0.16</v>
      </c>
    </row>
    <row r="120" spans="1:7" x14ac:dyDescent="0.25">
      <c r="A120" s="26" t="str">
        <f t="shared" si="3"/>
        <v>ROW28A_NWHST_BYERS</v>
      </c>
      <c r="B120" s="26" t="s">
        <v>1649</v>
      </c>
      <c r="C120" t="s">
        <v>1816</v>
      </c>
      <c r="D120" s="15" t="s">
        <v>1293</v>
      </c>
      <c r="E120" s="15" t="s">
        <v>1294</v>
      </c>
      <c r="F120" s="15" t="s">
        <v>1770</v>
      </c>
      <c r="G120" s="79">
        <v>9.6999999999999993</v>
      </c>
    </row>
    <row r="121" spans="1:7" x14ac:dyDescent="0.25">
      <c r="A121" s="26" t="str">
        <f t="shared" si="3"/>
        <v>ROW30A_NWHST_BYERS</v>
      </c>
      <c r="B121" s="26" t="s">
        <v>1652</v>
      </c>
      <c r="C121" t="s">
        <v>1816</v>
      </c>
      <c r="D121" s="15" t="s">
        <v>1293</v>
      </c>
      <c r="E121" s="15" t="s">
        <v>1294</v>
      </c>
      <c r="F121" s="15" t="s">
        <v>1770</v>
      </c>
      <c r="G121" s="79">
        <v>0.01</v>
      </c>
    </row>
    <row r="122" spans="1:7" x14ac:dyDescent="0.25">
      <c r="A122" s="26" t="str">
        <f t="shared" si="3"/>
        <v>ROW32A_NWHST_BYERS</v>
      </c>
      <c r="B122" s="26" t="s">
        <v>1655</v>
      </c>
      <c r="C122" t="s">
        <v>1816</v>
      </c>
      <c r="D122" s="15" t="s">
        <v>1293</v>
      </c>
      <c r="E122" s="15" t="s">
        <v>1294</v>
      </c>
      <c r="F122" s="15" t="s">
        <v>1770</v>
      </c>
      <c r="G122" s="79">
        <v>2</v>
      </c>
    </row>
    <row r="123" spans="1:7" x14ac:dyDescent="0.25">
      <c r="A123" s="26" t="str">
        <f t="shared" si="3"/>
        <v>LMD00A_NWHST_BYERS</v>
      </c>
      <c r="B123" s="26" t="s">
        <v>1657</v>
      </c>
      <c r="C123" t="s">
        <v>1816</v>
      </c>
      <c r="D123" s="15" t="s">
        <v>1293</v>
      </c>
      <c r="E123" s="15" t="s">
        <v>1294</v>
      </c>
      <c r="F123" s="15" t="s">
        <v>1770</v>
      </c>
      <c r="G123" s="79">
        <v>0.02</v>
      </c>
    </row>
    <row r="124" spans="1:7" x14ac:dyDescent="0.25">
      <c r="A124" s="26" t="str">
        <f t="shared" si="3"/>
        <v>LMD02A_NWHST_BYERS</v>
      </c>
      <c r="B124" s="26" t="s">
        <v>1660</v>
      </c>
      <c r="C124" t="s">
        <v>1816</v>
      </c>
      <c r="D124" s="15" t="s">
        <v>1293</v>
      </c>
      <c r="E124" s="15" t="s">
        <v>1294</v>
      </c>
      <c r="F124" s="15" t="s">
        <v>1770</v>
      </c>
      <c r="G124" s="79">
        <v>0.01</v>
      </c>
    </row>
    <row r="125" spans="1:7" x14ac:dyDescent="0.25">
      <c r="A125" s="26" t="str">
        <f t="shared" si="3"/>
        <v>LMD04A_NWHST_BYERS</v>
      </c>
      <c r="B125" s="26" t="s">
        <v>1662</v>
      </c>
      <c r="C125" t="s">
        <v>1816</v>
      </c>
      <c r="D125" s="15" t="s">
        <v>1293</v>
      </c>
      <c r="E125" s="15" t="s">
        <v>1294</v>
      </c>
      <c r="F125" s="15" t="s">
        <v>1770</v>
      </c>
      <c r="G125" s="79">
        <v>0.01</v>
      </c>
    </row>
    <row r="126" spans="1:7" x14ac:dyDescent="0.25">
      <c r="A126" s="26" t="str">
        <f t="shared" si="3"/>
        <v>LMD06A_NWHST_BYERS</v>
      </c>
      <c r="B126" s="26" t="s">
        <v>1664</v>
      </c>
      <c r="C126" t="s">
        <v>1816</v>
      </c>
      <c r="D126" s="15" t="s">
        <v>1293</v>
      </c>
      <c r="E126" s="15" t="s">
        <v>1294</v>
      </c>
      <c r="F126" s="15" t="s">
        <v>1770</v>
      </c>
      <c r="G126" s="79">
        <v>0.86</v>
      </c>
    </row>
    <row r="127" spans="1:7" x14ac:dyDescent="0.25">
      <c r="A127" s="26" t="str">
        <f t="shared" si="3"/>
        <v>LMD08A_NWHST_BYERS</v>
      </c>
      <c r="B127" s="26" t="s">
        <v>1667</v>
      </c>
      <c r="C127" t="s">
        <v>1816</v>
      </c>
      <c r="D127" s="15" t="s">
        <v>1293</v>
      </c>
      <c r="E127" s="15" t="s">
        <v>1294</v>
      </c>
      <c r="F127" s="15" t="s">
        <v>1770</v>
      </c>
      <c r="G127" s="79">
        <v>2.16</v>
      </c>
    </row>
    <row r="128" spans="1:7" x14ac:dyDescent="0.25">
      <c r="A128" s="26" t="str">
        <f t="shared" si="3"/>
        <v>LMD10A_NWHST_BYERS</v>
      </c>
      <c r="B128" s="26" t="s">
        <v>1670</v>
      </c>
      <c r="C128" t="s">
        <v>1816</v>
      </c>
      <c r="D128" s="15" t="s">
        <v>1293</v>
      </c>
      <c r="E128" s="15" t="s">
        <v>1294</v>
      </c>
      <c r="F128" s="15" t="s">
        <v>1770</v>
      </c>
      <c r="G128" s="79">
        <v>2.13</v>
      </c>
    </row>
    <row r="129" spans="1:7" x14ac:dyDescent="0.25">
      <c r="A129" s="26" t="str">
        <f t="shared" si="3"/>
        <v>LMD12A_NWHST_BYERS</v>
      </c>
      <c r="B129" s="26" t="s">
        <v>1672</v>
      </c>
      <c r="C129" t="s">
        <v>1816</v>
      </c>
      <c r="D129" s="15" t="s">
        <v>1293</v>
      </c>
      <c r="E129" s="15" t="s">
        <v>1294</v>
      </c>
      <c r="F129" s="15" t="s">
        <v>1770</v>
      </c>
      <c r="G129" s="79">
        <v>2.81</v>
      </c>
    </row>
    <row r="130" spans="1:7" x14ac:dyDescent="0.25">
      <c r="A130" s="26" t="str">
        <f t="shared" ref="A130" si="4">B130&amp;"_"&amp;C130&amp;"_"&amp;E130</f>
        <v>LMD14A_NWHST_BYERS</v>
      </c>
      <c r="B130" s="26" t="s">
        <v>1674</v>
      </c>
      <c r="C130" t="s">
        <v>1816</v>
      </c>
      <c r="D130" s="15" t="s">
        <v>1293</v>
      </c>
      <c r="E130" s="15" t="s">
        <v>1294</v>
      </c>
      <c r="F130" s="15" t="s">
        <v>1770</v>
      </c>
      <c r="G130" s="79">
        <v>0.53</v>
      </c>
    </row>
    <row r="131" spans="1:7" x14ac:dyDescent="0.25">
      <c r="A131" s="26" t="str">
        <f t="shared" ref="A131:A194" si="5">B131&amp;"_"&amp;C131&amp;"_"&amp;E131</f>
        <v>MSC00A_NWHST_BYERS</v>
      </c>
      <c r="B131" s="26" t="s">
        <v>1676</v>
      </c>
      <c r="C131" t="s">
        <v>1816</v>
      </c>
      <c r="D131" s="15" t="s">
        <v>1293</v>
      </c>
      <c r="E131" s="15" t="s">
        <v>1294</v>
      </c>
      <c r="F131" s="15" t="s">
        <v>1770</v>
      </c>
      <c r="G131" s="79">
        <v>0.01</v>
      </c>
    </row>
    <row r="132" spans="1:7" x14ac:dyDescent="0.25">
      <c r="A132" s="26" t="str">
        <f t="shared" si="5"/>
        <v>MSC02A_NWHST_BYERS</v>
      </c>
      <c r="B132" s="26" t="s">
        <v>1678</v>
      </c>
      <c r="C132" t="s">
        <v>1816</v>
      </c>
      <c r="D132" s="15" t="s">
        <v>1293</v>
      </c>
      <c r="E132" s="15" t="s">
        <v>1294</v>
      </c>
      <c r="F132" s="15" t="s">
        <v>1770</v>
      </c>
      <c r="G132" s="79">
        <v>0.01</v>
      </c>
    </row>
    <row r="133" spans="1:7" x14ac:dyDescent="0.25">
      <c r="A133" s="26" t="str">
        <f t="shared" si="5"/>
        <v>HLB00A_NWHST_BYERS</v>
      </c>
      <c r="B133" s="26" t="s">
        <v>1680</v>
      </c>
      <c r="C133" t="s">
        <v>1816</v>
      </c>
      <c r="D133" s="15" t="s">
        <v>1293</v>
      </c>
      <c r="E133" s="15" t="s">
        <v>1294</v>
      </c>
      <c r="F133" s="15" t="s">
        <v>1770</v>
      </c>
      <c r="G133" s="79">
        <v>0.52</v>
      </c>
    </row>
    <row r="134" spans="1:7" x14ac:dyDescent="0.25">
      <c r="A134" s="26" t="str">
        <f t="shared" si="5"/>
        <v>HLB02A_NWHST_BYERS</v>
      </c>
      <c r="B134" s="26" t="s">
        <v>1685</v>
      </c>
      <c r="C134" t="s">
        <v>1816</v>
      </c>
      <c r="D134" s="15" t="s">
        <v>1293</v>
      </c>
      <c r="E134" s="15" t="s">
        <v>1294</v>
      </c>
      <c r="F134" s="15" t="s">
        <v>1770</v>
      </c>
      <c r="G134" s="79">
        <v>0.46</v>
      </c>
    </row>
    <row r="135" spans="1:7" x14ac:dyDescent="0.25">
      <c r="A135" s="26" t="str">
        <f t="shared" si="5"/>
        <v>HLB04A_NWHST_BYERS</v>
      </c>
      <c r="B135" s="26" t="s">
        <v>1689</v>
      </c>
      <c r="C135" t="s">
        <v>1816</v>
      </c>
      <c r="D135" s="15" t="s">
        <v>1293</v>
      </c>
      <c r="E135" s="15" t="s">
        <v>1294</v>
      </c>
      <c r="F135" s="15" t="s">
        <v>1770</v>
      </c>
      <c r="G135" s="79">
        <v>0.32</v>
      </c>
    </row>
    <row r="136" spans="1:7" x14ac:dyDescent="0.25">
      <c r="A136" s="26" t="str">
        <f t="shared" si="5"/>
        <v>HLB06A_NWHST_BYERS</v>
      </c>
      <c r="B136" s="26" t="s">
        <v>1693</v>
      </c>
      <c r="C136" t="s">
        <v>1816</v>
      </c>
      <c r="D136" s="15" t="s">
        <v>1293</v>
      </c>
      <c r="E136" s="15" t="s">
        <v>1294</v>
      </c>
      <c r="F136" s="15" t="s">
        <v>1770</v>
      </c>
      <c r="G136" s="79">
        <v>1.08</v>
      </c>
    </row>
    <row r="137" spans="1:7" x14ac:dyDescent="0.25">
      <c r="A137" s="26" t="str">
        <f t="shared" si="5"/>
        <v>HLB08A_NWHST_BYERS</v>
      </c>
      <c r="B137" s="26" t="s">
        <v>1697</v>
      </c>
      <c r="C137" t="s">
        <v>1816</v>
      </c>
      <c r="D137" s="15" t="s">
        <v>1293</v>
      </c>
      <c r="E137" s="15" t="s">
        <v>1294</v>
      </c>
      <c r="F137" s="15" t="s">
        <v>1770</v>
      </c>
      <c r="G137" s="79">
        <v>1.18</v>
      </c>
    </row>
    <row r="138" spans="1:7" x14ac:dyDescent="0.25">
      <c r="A138" s="26" t="str">
        <f t="shared" si="5"/>
        <v>HLB12A_NWHST_BYERS</v>
      </c>
      <c r="B138" s="26" t="s">
        <v>1701</v>
      </c>
      <c r="C138" t="s">
        <v>1816</v>
      </c>
      <c r="D138" s="15" t="s">
        <v>1293</v>
      </c>
      <c r="E138" s="15" t="s">
        <v>1294</v>
      </c>
      <c r="F138" s="15" t="s">
        <v>1770</v>
      </c>
      <c r="G138" s="79">
        <v>0.4</v>
      </c>
    </row>
    <row r="139" spans="1:7" x14ac:dyDescent="0.25">
      <c r="A139" s="26" t="str">
        <f t="shared" si="5"/>
        <v>HLB14A_NWHST_BYERS</v>
      </c>
      <c r="B139" s="26" t="s">
        <v>1705</v>
      </c>
      <c r="C139" t="s">
        <v>1816</v>
      </c>
      <c r="D139" s="15" t="s">
        <v>1293</v>
      </c>
      <c r="E139" s="15" t="s">
        <v>1294</v>
      </c>
      <c r="F139" s="15" t="s">
        <v>1770</v>
      </c>
      <c r="G139" s="79">
        <v>1.18</v>
      </c>
    </row>
    <row r="140" spans="1:7" x14ac:dyDescent="0.25">
      <c r="A140" s="26" t="str">
        <f t="shared" si="5"/>
        <v>HLB16A_NWHST_BYERS</v>
      </c>
      <c r="B140" s="26" t="s">
        <v>1709</v>
      </c>
      <c r="C140" t="s">
        <v>1816</v>
      </c>
      <c r="D140" s="15" t="s">
        <v>1293</v>
      </c>
      <c r="E140" s="15" t="s">
        <v>1294</v>
      </c>
      <c r="F140" s="15" t="s">
        <v>1770</v>
      </c>
      <c r="G140" s="79">
        <v>1.63</v>
      </c>
    </row>
    <row r="141" spans="1:7" x14ac:dyDescent="0.25">
      <c r="A141" s="26" t="str">
        <f t="shared" si="5"/>
        <v>HLB18A_NWHST_BYERS</v>
      </c>
      <c r="B141" s="26" t="s">
        <v>1713</v>
      </c>
      <c r="C141" t="s">
        <v>1816</v>
      </c>
      <c r="D141" s="15" t="s">
        <v>1293</v>
      </c>
      <c r="E141" s="15" t="s">
        <v>1294</v>
      </c>
      <c r="F141" s="15" t="s">
        <v>1770</v>
      </c>
      <c r="G141" s="79">
        <v>1.28</v>
      </c>
    </row>
    <row r="142" spans="1:7" x14ac:dyDescent="0.25">
      <c r="A142" s="26" t="str">
        <f t="shared" si="5"/>
        <v>ESU00A_NEHST_BYERS</v>
      </c>
      <c r="B142" s="26" t="s">
        <v>1378</v>
      </c>
      <c r="C142" s="26" t="s">
        <v>1810</v>
      </c>
      <c r="D142" s="26" t="s">
        <v>1293</v>
      </c>
      <c r="E142" s="26" t="s">
        <v>1294</v>
      </c>
      <c r="F142" s="26" t="s">
        <v>1770</v>
      </c>
      <c r="G142" s="79">
        <v>486</v>
      </c>
    </row>
    <row r="143" spans="1:7" x14ac:dyDescent="0.25">
      <c r="A143" s="26" t="str">
        <f t="shared" si="5"/>
        <v>ERE00A_NEHST_BYERS</v>
      </c>
      <c r="B143" s="26" t="s">
        <v>1381</v>
      </c>
      <c r="C143" s="26" t="s">
        <v>1810</v>
      </c>
      <c r="D143" s="26" t="s">
        <v>1293</v>
      </c>
      <c r="E143" s="26" t="s">
        <v>1294</v>
      </c>
      <c r="F143" s="26" t="s">
        <v>1770</v>
      </c>
      <c r="G143" s="79">
        <v>75.599999999999994</v>
      </c>
    </row>
    <row r="144" spans="1:7" x14ac:dyDescent="0.25">
      <c r="A144" s="26" t="str">
        <f t="shared" si="5"/>
        <v>ACE00A_NEHST_BYERS</v>
      </c>
      <c r="B144" s="26" t="s">
        <v>1384</v>
      </c>
      <c r="C144" s="26" t="s">
        <v>1810</v>
      </c>
      <c r="D144" s="26" t="s">
        <v>1293</v>
      </c>
      <c r="E144" s="26" t="s">
        <v>1294</v>
      </c>
      <c r="F144" s="26" t="s">
        <v>1770</v>
      </c>
      <c r="G144" s="26" t="s">
        <v>1805</v>
      </c>
    </row>
    <row r="145" spans="1:7" x14ac:dyDescent="0.25">
      <c r="A145" s="26" t="str">
        <f t="shared" si="5"/>
        <v>ACE02A_NEHST_BYERS</v>
      </c>
      <c r="B145" s="26" t="s">
        <v>1387</v>
      </c>
      <c r="C145" s="26" t="s">
        <v>1810</v>
      </c>
      <c r="D145" s="26" t="s">
        <v>1293</v>
      </c>
      <c r="E145" s="26" t="s">
        <v>1294</v>
      </c>
      <c r="F145" s="26" t="s">
        <v>1770</v>
      </c>
      <c r="G145" s="26" t="s">
        <v>1805</v>
      </c>
    </row>
    <row r="146" spans="1:7" x14ac:dyDescent="0.25">
      <c r="A146" s="26" t="str">
        <f t="shared" si="5"/>
        <v>ACE04A_NEHST_BYERS</v>
      </c>
      <c r="B146" s="26" t="s">
        <v>1390</v>
      </c>
      <c r="C146" s="26" t="s">
        <v>1810</v>
      </c>
      <c r="D146" s="26" t="s">
        <v>1293</v>
      </c>
      <c r="E146" s="26" t="s">
        <v>1294</v>
      </c>
      <c r="F146" s="26" t="s">
        <v>1770</v>
      </c>
      <c r="G146" s="26" t="s">
        <v>1805</v>
      </c>
    </row>
    <row r="147" spans="1:7" x14ac:dyDescent="0.25">
      <c r="A147" s="26" t="str">
        <f t="shared" si="5"/>
        <v>ACA00A_NEHST_BYERS</v>
      </c>
      <c r="B147" s="26" t="s">
        <v>1392</v>
      </c>
      <c r="C147" s="26" t="s">
        <v>1810</v>
      </c>
      <c r="D147" s="26" t="s">
        <v>1293</v>
      </c>
      <c r="E147" s="26" t="s">
        <v>1294</v>
      </c>
      <c r="F147" s="26" t="s">
        <v>1770</v>
      </c>
      <c r="G147" s="79">
        <v>0.28000000000000003</v>
      </c>
    </row>
    <row r="148" spans="1:7" x14ac:dyDescent="0.25">
      <c r="A148" s="26" t="str">
        <f t="shared" si="5"/>
        <v>ACA02A_NEHST_BYERS</v>
      </c>
      <c r="B148" s="26" t="s">
        <v>1395</v>
      </c>
      <c r="C148" s="26" t="s">
        <v>1810</v>
      </c>
      <c r="D148" s="26" t="s">
        <v>1293</v>
      </c>
      <c r="E148" s="26" t="s">
        <v>1294</v>
      </c>
      <c r="F148" s="26" t="s">
        <v>1770</v>
      </c>
      <c r="G148" s="79">
        <v>0.24</v>
      </c>
    </row>
    <row r="149" spans="1:7" x14ac:dyDescent="0.25">
      <c r="A149" s="26" t="str">
        <f t="shared" si="5"/>
        <v>ACA04A_NEHST_BYERS</v>
      </c>
      <c r="B149" s="26" t="s">
        <v>1397</v>
      </c>
      <c r="C149" s="26" t="s">
        <v>1810</v>
      </c>
      <c r="D149" s="26" t="s">
        <v>1293</v>
      </c>
      <c r="E149" s="26" t="s">
        <v>1294</v>
      </c>
      <c r="F149" s="26" t="s">
        <v>1770</v>
      </c>
      <c r="G149" s="79">
        <v>0.15</v>
      </c>
    </row>
    <row r="150" spans="1:7" x14ac:dyDescent="0.25">
      <c r="A150" s="26" t="str">
        <f t="shared" si="5"/>
        <v>ACA06A_NEHST_BYERS</v>
      </c>
      <c r="B150" s="26" t="s">
        <v>1399</v>
      </c>
      <c r="C150" s="26" t="s">
        <v>1810</v>
      </c>
      <c r="D150" s="26" t="s">
        <v>1293</v>
      </c>
      <c r="E150" s="26" t="s">
        <v>1294</v>
      </c>
      <c r="F150" s="26" t="s">
        <v>1770</v>
      </c>
      <c r="G150" s="79">
        <v>0.13</v>
      </c>
    </row>
    <row r="151" spans="1:7" x14ac:dyDescent="0.25">
      <c r="A151" s="26" t="str">
        <f t="shared" si="5"/>
        <v>ACA08A_NEHST_BYERS</v>
      </c>
      <c r="B151" s="26" t="s">
        <v>1401</v>
      </c>
      <c r="C151" s="26" t="s">
        <v>1810</v>
      </c>
      <c r="D151" s="26" t="s">
        <v>1293</v>
      </c>
      <c r="E151" s="26" t="s">
        <v>1294</v>
      </c>
      <c r="F151" s="26" t="s">
        <v>1770</v>
      </c>
      <c r="G151" s="79">
        <v>0.19</v>
      </c>
    </row>
    <row r="152" spans="1:7" x14ac:dyDescent="0.25">
      <c r="A152" s="26" t="str">
        <f t="shared" si="5"/>
        <v>ACA10A_NEHST_BYERS</v>
      </c>
      <c r="B152" s="26" t="s">
        <v>1403</v>
      </c>
      <c r="C152" s="26" t="s">
        <v>1810</v>
      </c>
      <c r="D152" s="26" t="s">
        <v>1293</v>
      </c>
      <c r="E152" s="26" t="s">
        <v>1294</v>
      </c>
      <c r="F152" s="26" t="s">
        <v>1770</v>
      </c>
      <c r="G152" s="79">
        <v>0.41</v>
      </c>
    </row>
    <row r="153" spans="1:7" x14ac:dyDescent="0.25">
      <c r="A153" s="26" t="str">
        <f t="shared" si="5"/>
        <v>ACA12A_NEHST_BYERS</v>
      </c>
      <c r="B153" s="26" t="s">
        <v>1404</v>
      </c>
      <c r="C153" s="26" t="s">
        <v>1810</v>
      </c>
      <c r="D153" s="26" t="s">
        <v>1293</v>
      </c>
      <c r="E153" s="26" t="s">
        <v>1294</v>
      </c>
      <c r="F153" s="26" t="s">
        <v>1770</v>
      </c>
      <c r="G153" s="79">
        <v>0.37</v>
      </c>
    </row>
    <row r="154" spans="1:7" x14ac:dyDescent="0.25">
      <c r="A154" s="26" t="str">
        <f t="shared" si="5"/>
        <v>ACA14A_NEHST_BYERS</v>
      </c>
      <c r="B154" s="26" t="s">
        <v>1776</v>
      </c>
      <c r="C154" s="26" t="s">
        <v>1810</v>
      </c>
      <c r="D154" s="26" t="s">
        <v>1293</v>
      </c>
      <c r="E154" s="26" t="s">
        <v>1294</v>
      </c>
      <c r="F154" s="26" t="s">
        <v>1770</v>
      </c>
      <c r="G154" s="79">
        <v>19.670000000000002</v>
      </c>
    </row>
    <row r="155" spans="1:7" x14ac:dyDescent="0.25">
      <c r="A155" s="26" t="str">
        <f t="shared" si="5"/>
        <v>ACA16A_NEHST_BYERS</v>
      </c>
      <c r="B155" s="26" t="s">
        <v>1777</v>
      </c>
      <c r="C155" s="26" t="s">
        <v>1810</v>
      </c>
      <c r="D155" s="26" t="s">
        <v>1293</v>
      </c>
      <c r="E155" s="26" t="s">
        <v>1294</v>
      </c>
      <c r="F155" s="26" t="s">
        <v>1770</v>
      </c>
      <c r="G155" s="79">
        <v>7.87</v>
      </c>
    </row>
    <row r="156" spans="1:7" x14ac:dyDescent="0.25">
      <c r="A156" s="26" t="str">
        <f t="shared" si="5"/>
        <v>AMH00A_NEHST_BYERS</v>
      </c>
      <c r="B156" s="26" t="s">
        <v>1405</v>
      </c>
      <c r="C156" s="26" t="s">
        <v>1810</v>
      </c>
      <c r="D156" s="26" t="s">
        <v>1293</v>
      </c>
      <c r="E156" s="26" t="s">
        <v>1294</v>
      </c>
      <c r="F156" s="26" t="s">
        <v>1770</v>
      </c>
      <c r="G156" s="79">
        <v>183.02</v>
      </c>
    </row>
    <row r="157" spans="1:7" x14ac:dyDescent="0.25">
      <c r="A157" s="26" t="str">
        <f t="shared" si="5"/>
        <v>AMH02A_NEHST_BYERS</v>
      </c>
      <c r="B157" s="26" t="s">
        <v>1408</v>
      </c>
      <c r="C157" s="26" t="s">
        <v>1810</v>
      </c>
      <c r="D157" s="26" t="s">
        <v>1293</v>
      </c>
      <c r="E157" s="26" t="s">
        <v>1294</v>
      </c>
      <c r="F157" s="26" t="s">
        <v>1770</v>
      </c>
      <c r="G157" s="79">
        <v>338.44</v>
      </c>
    </row>
    <row r="158" spans="1:7" x14ac:dyDescent="0.25">
      <c r="A158" s="26" t="str">
        <f t="shared" si="5"/>
        <v>AMH04A_NEHST_BYERS</v>
      </c>
      <c r="B158" s="26" t="s">
        <v>1410</v>
      </c>
      <c r="C158" s="26" t="s">
        <v>1810</v>
      </c>
      <c r="D158" s="26" t="s">
        <v>1293</v>
      </c>
      <c r="E158" s="26" t="s">
        <v>1294</v>
      </c>
      <c r="F158" s="26" t="s">
        <v>1770</v>
      </c>
      <c r="G158" s="79">
        <v>0.39</v>
      </c>
    </row>
    <row r="159" spans="1:7" x14ac:dyDescent="0.25">
      <c r="A159" s="26" t="str">
        <f t="shared" si="5"/>
        <v>AMH06A_NEHST_BYERS</v>
      </c>
      <c r="B159" s="26" t="s">
        <v>1413</v>
      </c>
      <c r="C159" s="26" t="s">
        <v>1810</v>
      </c>
      <c r="D159" s="26" t="s">
        <v>1293</v>
      </c>
      <c r="E159" s="26" t="s">
        <v>1294</v>
      </c>
      <c r="F159" s="26" t="s">
        <v>1770</v>
      </c>
      <c r="G159" s="79">
        <v>0.21</v>
      </c>
    </row>
    <row r="160" spans="1:7" x14ac:dyDescent="0.25">
      <c r="A160" s="26" t="str">
        <f t="shared" si="5"/>
        <v>AMH08A_NEHST_BYERS</v>
      </c>
      <c r="B160" s="26" t="s">
        <v>1416</v>
      </c>
      <c r="C160" s="26" t="s">
        <v>1810</v>
      </c>
      <c r="D160" s="26" t="s">
        <v>1293</v>
      </c>
      <c r="E160" s="26" t="s">
        <v>1294</v>
      </c>
      <c r="F160" s="26" t="s">
        <v>1770</v>
      </c>
      <c r="G160" s="79">
        <v>0.79</v>
      </c>
    </row>
    <row r="161" spans="1:7" x14ac:dyDescent="0.25">
      <c r="A161" s="26" t="str">
        <f t="shared" si="5"/>
        <v>AMH10A_NEHST_BYERS</v>
      </c>
      <c r="B161" s="26" t="s">
        <v>1419</v>
      </c>
      <c r="C161" s="26" t="s">
        <v>1810</v>
      </c>
      <c r="D161" s="26" t="s">
        <v>1293</v>
      </c>
      <c r="E161" s="26" t="s">
        <v>1294</v>
      </c>
      <c r="F161" s="26" t="s">
        <v>1770</v>
      </c>
      <c r="G161" s="79">
        <v>0.18</v>
      </c>
    </row>
    <row r="162" spans="1:7" x14ac:dyDescent="0.25">
      <c r="A162" s="26" t="str">
        <f t="shared" si="5"/>
        <v>AMH12A_NEHST_BYERS</v>
      </c>
      <c r="B162" s="26" t="s">
        <v>1421</v>
      </c>
      <c r="C162" s="26" t="s">
        <v>1810</v>
      </c>
      <c r="D162" s="26" t="s">
        <v>1293</v>
      </c>
      <c r="E162" s="26" t="s">
        <v>1294</v>
      </c>
      <c r="F162" s="26" t="s">
        <v>1770</v>
      </c>
      <c r="G162" s="79">
        <v>909.47</v>
      </c>
    </row>
    <row r="163" spans="1:7" x14ac:dyDescent="0.25">
      <c r="A163" s="26" t="str">
        <f t="shared" si="5"/>
        <v>AMH14A_NEHST_BYERS</v>
      </c>
      <c r="B163" s="26" t="s">
        <v>1424</v>
      </c>
      <c r="C163" s="26" t="s">
        <v>1810</v>
      </c>
      <c r="D163" s="26" t="s">
        <v>1293</v>
      </c>
      <c r="E163" s="26" t="s">
        <v>1294</v>
      </c>
      <c r="F163" s="26" t="s">
        <v>1770</v>
      </c>
      <c r="G163" s="79">
        <v>296.45999999999998</v>
      </c>
    </row>
    <row r="164" spans="1:7" x14ac:dyDescent="0.25">
      <c r="A164" s="26" t="str">
        <f t="shared" si="5"/>
        <v>AMH16A_NEHST_BYERS</v>
      </c>
      <c r="B164" s="26" t="s">
        <v>1426</v>
      </c>
      <c r="C164" s="26" t="s">
        <v>1810</v>
      </c>
      <c r="D164" s="26" t="s">
        <v>1293</v>
      </c>
      <c r="E164" s="26" t="s">
        <v>1294</v>
      </c>
      <c r="F164" s="26" t="s">
        <v>1770</v>
      </c>
      <c r="G164" s="79">
        <v>60.61</v>
      </c>
    </row>
    <row r="165" spans="1:7" x14ac:dyDescent="0.25">
      <c r="A165" s="26" t="str">
        <f t="shared" si="5"/>
        <v>APO00A_NEHST_BYERS</v>
      </c>
      <c r="B165" s="26" t="s">
        <v>1428</v>
      </c>
      <c r="C165" s="26" t="s">
        <v>1810</v>
      </c>
      <c r="D165" s="26" t="s">
        <v>1293</v>
      </c>
      <c r="E165" s="26" t="s">
        <v>1294</v>
      </c>
      <c r="F165" s="26" t="s">
        <v>1770</v>
      </c>
      <c r="G165" s="79">
        <v>64.41</v>
      </c>
    </row>
    <row r="166" spans="1:7" x14ac:dyDescent="0.25">
      <c r="A166" s="26" t="str">
        <f t="shared" si="5"/>
        <v>APO02A_NEHST_BYERS</v>
      </c>
      <c r="B166" s="26" t="s">
        <v>1430</v>
      </c>
      <c r="C166" s="26" t="s">
        <v>1810</v>
      </c>
      <c r="D166" s="26" t="s">
        <v>1293</v>
      </c>
      <c r="E166" s="26" t="s">
        <v>1294</v>
      </c>
      <c r="F166" s="26" t="s">
        <v>1770</v>
      </c>
      <c r="G166" s="79">
        <v>3.29</v>
      </c>
    </row>
    <row r="167" spans="1:7" x14ac:dyDescent="0.25">
      <c r="A167" s="26" t="str">
        <f t="shared" si="5"/>
        <v>ARD00A_NEHST_BYERS</v>
      </c>
      <c r="B167" s="26" t="s">
        <v>1432</v>
      </c>
      <c r="C167" s="26" t="s">
        <v>1810</v>
      </c>
      <c r="D167" s="26" t="s">
        <v>1293</v>
      </c>
      <c r="E167" s="26" t="s">
        <v>1294</v>
      </c>
      <c r="F167" s="26" t="s">
        <v>1770</v>
      </c>
      <c r="G167" s="79">
        <v>0.11</v>
      </c>
    </row>
    <row r="168" spans="1:7" x14ac:dyDescent="0.25">
      <c r="A168" s="26" t="str">
        <f t="shared" si="5"/>
        <v>ARD02A_NEHST_BYERS</v>
      </c>
      <c r="B168" s="26" t="s">
        <v>1435</v>
      </c>
      <c r="C168" s="26" t="s">
        <v>1810</v>
      </c>
      <c r="D168" s="26" t="s">
        <v>1293</v>
      </c>
      <c r="E168" s="26" t="s">
        <v>1294</v>
      </c>
      <c r="F168" s="26" t="s">
        <v>1770</v>
      </c>
      <c r="G168" s="79">
        <v>294.57</v>
      </c>
    </row>
    <row r="169" spans="1:7" x14ac:dyDescent="0.25">
      <c r="A169" s="26" t="str">
        <f t="shared" si="5"/>
        <v>ASA00A_NEHST_BYERS</v>
      </c>
      <c r="B169" s="26" t="s">
        <v>1438</v>
      </c>
      <c r="C169" s="26" t="s">
        <v>1810</v>
      </c>
      <c r="D169" s="26" t="s">
        <v>1293</v>
      </c>
      <c r="E169" s="26" t="s">
        <v>1294</v>
      </c>
      <c r="F169" s="26" t="s">
        <v>1770</v>
      </c>
      <c r="G169" s="79">
        <v>263.52</v>
      </c>
    </row>
    <row r="170" spans="1:7" x14ac:dyDescent="0.25">
      <c r="A170" s="26" t="str">
        <f t="shared" si="5"/>
        <v>ASA02A_NEHST_BYERS</v>
      </c>
      <c r="B170" s="26" t="s">
        <v>1441</v>
      </c>
      <c r="C170" s="26" t="s">
        <v>1810</v>
      </c>
      <c r="D170" s="26" t="s">
        <v>1293</v>
      </c>
      <c r="E170" s="26" t="s">
        <v>1294</v>
      </c>
      <c r="F170" s="26" t="s">
        <v>1770</v>
      </c>
      <c r="G170" s="79">
        <v>197.64</v>
      </c>
    </row>
    <row r="171" spans="1:7" x14ac:dyDescent="0.25">
      <c r="A171" s="26" t="str">
        <f t="shared" si="5"/>
        <v>ASA04A_NEHST_BYERS</v>
      </c>
      <c r="B171" s="26" t="s">
        <v>1783</v>
      </c>
      <c r="C171" s="26" t="s">
        <v>1810</v>
      </c>
      <c r="D171" s="26" t="s">
        <v>1293</v>
      </c>
      <c r="E171" s="26" t="s">
        <v>1294</v>
      </c>
      <c r="F171" s="26" t="s">
        <v>1770</v>
      </c>
      <c r="G171" s="79">
        <v>197.64</v>
      </c>
    </row>
    <row r="172" spans="1:7" x14ac:dyDescent="0.25">
      <c r="A172" s="26" t="str">
        <f t="shared" si="5"/>
        <v>ASP00A_NEHST_BYERS</v>
      </c>
      <c r="B172" s="26" t="s">
        <v>1443</v>
      </c>
      <c r="C172" s="26" t="s">
        <v>1810</v>
      </c>
      <c r="D172" s="26" t="s">
        <v>1293</v>
      </c>
      <c r="E172" s="26" t="s">
        <v>1294</v>
      </c>
      <c r="F172" s="26" t="s">
        <v>1770</v>
      </c>
      <c r="G172" s="79">
        <v>49.41</v>
      </c>
    </row>
    <row r="173" spans="1:7" x14ac:dyDescent="0.25">
      <c r="A173" s="26" t="str">
        <f t="shared" si="5"/>
        <v>ASU00A_NEHST_BYERS</v>
      </c>
      <c r="B173" s="26" t="s">
        <v>1445</v>
      </c>
      <c r="C173" s="26" t="s">
        <v>1810</v>
      </c>
      <c r="D173" s="26" t="s">
        <v>1293</v>
      </c>
      <c r="E173" s="26" t="s">
        <v>1294</v>
      </c>
      <c r="F173" s="26" t="s">
        <v>1770</v>
      </c>
      <c r="G173" s="79">
        <v>23.06</v>
      </c>
    </row>
    <row r="174" spans="1:7" x14ac:dyDescent="0.25">
      <c r="A174" s="26" t="str">
        <f t="shared" si="5"/>
        <v>ASU02A_NEHST_BYERS</v>
      </c>
      <c r="B174" s="26" t="s">
        <v>1448</v>
      </c>
      <c r="C174" s="26" t="s">
        <v>1810</v>
      </c>
      <c r="D174" s="26" t="s">
        <v>1293</v>
      </c>
      <c r="E174" s="26" t="s">
        <v>1294</v>
      </c>
      <c r="F174" s="26" t="s">
        <v>1770</v>
      </c>
      <c r="G174" s="79">
        <v>98.82</v>
      </c>
    </row>
    <row r="175" spans="1:7" x14ac:dyDescent="0.25">
      <c r="A175" s="26" t="str">
        <f t="shared" si="5"/>
        <v>ATE00A_NEHST_BYERS</v>
      </c>
      <c r="B175" s="26" t="s">
        <v>1451</v>
      </c>
      <c r="C175" s="26" t="s">
        <v>1810</v>
      </c>
      <c r="D175" s="26" t="s">
        <v>1293</v>
      </c>
      <c r="E175" s="26" t="s">
        <v>1294</v>
      </c>
      <c r="F175" s="26" t="s">
        <v>1770</v>
      </c>
      <c r="G175" s="79">
        <v>47.12</v>
      </c>
    </row>
    <row r="176" spans="1:7" x14ac:dyDescent="0.25">
      <c r="A176" s="26" t="str">
        <f t="shared" si="5"/>
        <v>ADL00A_NEHST_BYERS</v>
      </c>
      <c r="B176" s="26" t="s">
        <v>1454</v>
      </c>
      <c r="C176" s="26" t="s">
        <v>1810</v>
      </c>
      <c r="D176" s="26" t="s">
        <v>1293</v>
      </c>
      <c r="E176" s="26" t="s">
        <v>1294</v>
      </c>
      <c r="F176" s="26" t="s">
        <v>1770</v>
      </c>
      <c r="G176" s="79">
        <v>572.5</v>
      </c>
    </row>
    <row r="177" spans="1:7" x14ac:dyDescent="0.25">
      <c r="A177" s="26" t="str">
        <f t="shared" si="5"/>
        <v>ADL02A_NEHST_BYERS</v>
      </c>
      <c r="B177" s="26" t="s">
        <v>1457</v>
      </c>
      <c r="C177" s="26" t="s">
        <v>1810</v>
      </c>
      <c r="D177" s="26" t="s">
        <v>1293</v>
      </c>
      <c r="E177" s="26" t="s">
        <v>1294</v>
      </c>
      <c r="F177" s="26" t="s">
        <v>1770</v>
      </c>
      <c r="G177" s="79">
        <v>189.08</v>
      </c>
    </row>
    <row r="178" spans="1:7" x14ac:dyDescent="0.25">
      <c r="A178" s="26" t="str">
        <f t="shared" si="5"/>
        <v>ADL04A_NEHST_BYERS</v>
      </c>
      <c r="B178" s="26" t="s">
        <v>1459</v>
      </c>
      <c r="C178" s="26" t="s">
        <v>1810</v>
      </c>
      <c r="D178" s="26" t="s">
        <v>1293</v>
      </c>
      <c r="E178" s="26" t="s">
        <v>1294</v>
      </c>
      <c r="F178" s="26" t="s">
        <v>1770</v>
      </c>
      <c r="G178" s="79">
        <v>112</v>
      </c>
    </row>
    <row r="179" spans="1:7" x14ac:dyDescent="0.25">
      <c r="A179" s="26" t="str">
        <f t="shared" si="5"/>
        <v>ADL06A_NEHST_BYERS</v>
      </c>
      <c r="B179" s="26" t="s">
        <v>1461</v>
      </c>
      <c r="C179" s="26" t="s">
        <v>1810</v>
      </c>
      <c r="D179" s="26" t="s">
        <v>1293</v>
      </c>
      <c r="E179" s="26" t="s">
        <v>1294</v>
      </c>
      <c r="F179" s="26" t="s">
        <v>1770</v>
      </c>
      <c r="G179" s="79">
        <v>55.21</v>
      </c>
    </row>
    <row r="180" spans="1:7" x14ac:dyDescent="0.25">
      <c r="A180" s="26" t="str">
        <f t="shared" si="5"/>
        <v>ICP00A_NEHST_BYERS</v>
      </c>
      <c r="B180" s="26" t="s">
        <v>1463</v>
      </c>
      <c r="C180" s="26" t="s">
        <v>1810</v>
      </c>
      <c r="D180" s="26" t="s">
        <v>1293</v>
      </c>
      <c r="E180" s="26" t="s">
        <v>1294</v>
      </c>
      <c r="F180" s="26" t="s">
        <v>1770</v>
      </c>
      <c r="G180" s="79">
        <v>226.8</v>
      </c>
    </row>
    <row r="181" spans="1:7" x14ac:dyDescent="0.25">
      <c r="A181" s="26" t="str">
        <f t="shared" si="5"/>
        <v>ICP02A_NEHST_BYERS</v>
      </c>
      <c r="B181" s="26" t="s">
        <v>1465</v>
      </c>
      <c r="C181" s="26" t="s">
        <v>1810</v>
      </c>
      <c r="D181" s="26" t="s">
        <v>1293</v>
      </c>
      <c r="E181" s="26" t="s">
        <v>1294</v>
      </c>
      <c r="F181" s="26" t="s">
        <v>1770</v>
      </c>
      <c r="G181" s="79">
        <v>54.43</v>
      </c>
    </row>
    <row r="182" spans="1:7" x14ac:dyDescent="0.25">
      <c r="A182" s="26" t="str">
        <f t="shared" si="5"/>
        <v>ICP04A_NEHST_BYERS</v>
      </c>
      <c r="B182" s="26" t="s">
        <v>1467</v>
      </c>
      <c r="C182" s="26" t="s">
        <v>1810</v>
      </c>
      <c r="D182" s="26" t="s">
        <v>1293</v>
      </c>
      <c r="E182" s="26" t="s">
        <v>1294</v>
      </c>
      <c r="F182" s="26" t="s">
        <v>1770</v>
      </c>
      <c r="G182" s="79">
        <v>68.040000000000006</v>
      </c>
    </row>
    <row r="183" spans="1:7" x14ac:dyDescent="0.25">
      <c r="A183" s="26" t="str">
        <f t="shared" si="5"/>
        <v>ICP06A_NEHST_BYERS</v>
      </c>
      <c r="B183" s="26" t="s">
        <v>1469</v>
      </c>
      <c r="C183" s="26" t="s">
        <v>1810</v>
      </c>
      <c r="D183" s="26" t="s">
        <v>1293</v>
      </c>
      <c r="E183" s="26" t="s">
        <v>1294</v>
      </c>
      <c r="F183" s="26" t="s">
        <v>1770</v>
      </c>
      <c r="G183" s="79">
        <v>20.41</v>
      </c>
    </row>
    <row r="184" spans="1:7" x14ac:dyDescent="0.25">
      <c r="A184" s="26" t="str">
        <f t="shared" si="5"/>
        <v>ICP08A_NEHST_BYERS</v>
      </c>
      <c r="B184" s="26" t="s">
        <v>1784</v>
      </c>
      <c r="C184" s="26" t="s">
        <v>1810</v>
      </c>
      <c r="D184" s="26" t="s">
        <v>1293</v>
      </c>
      <c r="E184" s="26" t="s">
        <v>1294</v>
      </c>
      <c r="F184" s="26" t="s">
        <v>1770</v>
      </c>
      <c r="G184" s="79">
        <v>54.43</v>
      </c>
    </row>
    <row r="185" spans="1:7" x14ac:dyDescent="0.25">
      <c r="A185" s="26" t="str">
        <f t="shared" si="5"/>
        <v>ICP10A_NEHST_BYERS</v>
      </c>
      <c r="B185" s="26" t="s">
        <v>1785</v>
      </c>
      <c r="C185" s="26" t="s">
        <v>1810</v>
      </c>
      <c r="D185" s="26" t="s">
        <v>1293</v>
      </c>
      <c r="E185" s="26" t="s">
        <v>1294</v>
      </c>
      <c r="F185" s="26" t="s">
        <v>1770</v>
      </c>
      <c r="G185" s="79">
        <v>158.76</v>
      </c>
    </row>
    <row r="186" spans="1:7" x14ac:dyDescent="0.25">
      <c r="A186" s="26" t="str">
        <f t="shared" si="5"/>
        <v>ICP12A_NEHST_BYERS</v>
      </c>
      <c r="B186" s="26" t="s">
        <v>1786</v>
      </c>
      <c r="C186" s="26" t="s">
        <v>1810</v>
      </c>
      <c r="D186" s="26" t="s">
        <v>1293</v>
      </c>
      <c r="E186" s="26" t="s">
        <v>1294</v>
      </c>
      <c r="F186" s="26" t="s">
        <v>1770</v>
      </c>
      <c r="G186" s="79">
        <v>22.68</v>
      </c>
    </row>
    <row r="187" spans="1:7" x14ac:dyDescent="0.25">
      <c r="A187" s="26" t="str">
        <f t="shared" si="5"/>
        <v>IFI00A_NEHST_BYERS</v>
      </c>
      <c r="B187" s="26" t="s">
        <v>1471</v>
      </c>
      <c r="C187" s="26" t="s">
        <v>1810</v>
      </c>
      <c r="D187" s="26" t="s">
        <v>1293</v>
      </c>
      <c r="E187" s="26" t="s">
        <v>1294</v>
      </c>
      <c r="F187" s="26" t="s">
        <v>1770</v>
      </c>
      <c r="G187" s="79">
        <v>97.2</v>
      </c>
    </row>
    <row r="188" spans="1:7" x14ac:dyDescent="0.25">
      <c r="A188" s="26" t="str">
        <f t="shared" si="5"/>
        <v>IFI02A_NEHST_BYERS</v>
      </c>
      <c r="B188" s="26" t="s">
        <v>1474</v>
      </c>
      <c r="C188" s="26" t="s">
        <v>1810</v>
      </c>
      <c r="D188" s="26" t="s">
        <v>1293</v>
      </c>
      <c r="E188" s="26" t="s">
        <v>1294</v>
      </c>
      <c r="F188" s="26" t="s">
        <v>1770</v>
      </c>
      <c r="G188" s="79">
        <v>0.1</v>
      </c>
    </row>
    <row r="189" spans="1:7" x14ac:dyDescent="0.25">
      <c r="A189" s="26" t="str">
        <f t="shared" si="5"/>
        <v>IFI04A_NEHST_BYERS</v>
      </c>
      <c r="B189" s="26" t="s">
        <v>1477</v>
      </c>
      <c r="C189" s="26" t="s">
        <v>1810</v>
      </c>
      <c r="D189" s="26" t="s">
        <v>1293</v>
      </c>
      <c r="E189" s="26" t="s">
        <v>1294</v>
      </c>
      <c r="F189" s="26" t="s">
        <v>1770</v>
      </c>
      <c r="G189" s="79">
        <v>27.22</v>
      </c>
    </row>
    <row r="190" spans="1:7" x14ac:dyDescent="0.25">
      <c r="A190" s="26" t="str">
        <f t="shared" si="5"/>
        <v>IFI06A_NEHST_BYERS</v>
      </c>
      <c r="B190" s="26" t="s">
        <v>1479</v>
      </c>
      <c r="C190" s="26" t="s">
        <v>1810</v>
      </c>
      <c r="D190" s="26" t="s">
        <v>1293</v>
      </c>
      <c r="E190" s="26" t="s">
        <v>1294</v>
      </c>
      <c r="F190" s="26" t="s">
        <v>1770</v>
      </c>
      <c r="G190" s="79">
        <v>87.48</v>
      </c>
    </row>
    <row r="191" spans="1:7" x14ac:dyDescent="0.25">
      <c r="A191" s="26" t="str">
        <f t="shared" si="5"/>
        <v>IFI08A_NEHST_BYERS</v>
      </c>
      <c r="B191" s="26" t="s">
        <v>1481</v>
      </c>
      <c r="C191" s="26" t="s">
        <v>1810</v>
      </c>
      <c r="D191" s="26" t="s">
        <v>1293</v>
      </c>
      <c r="E191" s="26" t="s">
        <v>1294</v>
      </c>
      <c r="F191" s="26" t="s">
        <v>1770</v>
      </c>
      <c r="G191" s="79">
        <v>129.6</v>
      </c>
    </row>
    <row r="192" spans="1:7" x14ac:dyDescent="0.25">
      <c r="A192" s="26" t="str">
        <f t="shared" si="5"/>
        <v>IFI10A_NEHST_BYERS</v>
      </c>
      <c r="B192" s="26" t="s">
        <v>1483</v>
      </c>
      <c r="C192" s="26" t="s">
        <v>1810</v>
      </c>
      <c r="D192" s="26" t="s">
        <v>1293</v>
      </c>
      <c r="E192" s="26" t="s">
        <v>1294</v>
      </c>
      <c r="F192" s="26" t="s">
        <v>1770</v>
      </c>
      <c r="G192" s="79">
        <v>0.16</v>
      </c>
    </row>
    <row r="193" spans="1:7" x14ac:dyDescent="0.25">
      <c r="A193" s="26" t="str">
        <f t="shared" si="5"/>
        <v>IFI12A_NEHST_BYERS</v>
      </c>
      <c r="B193" s="26" t="s">
        <v>1485</v>
      </c>
      <c r="C193" s="26" t="s">
        <v>1810</v>
      </c>
      <c r="D193" s="26" t="s">
        <v>1293</v>
      </c>
      <c r="E193" s="26" t="s">
        <v>1294</v>
      </c>
      <c r="F193" s="26" t="s">
        <v>1770</v>
      </c>
      <c r="G193" s="79">
        <v>35.64</v>
      </c>
    </row>
    <row r="194" spans="1:7" x14ac:dyDescent="0.25">
      <c r="A194" s="26" t="str">
        <f t="shared" si="5"/>
        <v>IFI14A_NEHST_BYERS</v>
      </c>
      <c r="B194" s="26" t="s">
        <v>1487</v>
      </c>
      <c r="C194" s="26" t="s">
        <v>1810</v>
      </c>
      <c r="D194" s="26" t="s">
        <v>1293</v>
      </c>
      <c r="E194" s="26" t="s">
        <v>1294</v>
      </c>
      <c r="F194" s="26" t="s">
        <v>1770</v>
      </c>
      <c r="G194" s="79">
        <v>115.99</v>
      </c>
    </row>
    <row r="195" spans="1:7" x14ac:dyDescent="0.25">
      <c r="A195" s="26" t="str">
        <f t="shared" ref="A195:A258" si="6">B195&amp;"_"&amp;C195&amp;"_"&amp;E195</f>
        <v>IFI16A_NEHST_BYERS</v>
      </c>
      <c r="B195" s="26" t="s">
        <v>1790</v>
      </c>
      <c r="C195" s="26" t="s">
        <v>1810</v>
      </c>
      <c r="D195" s="26" t="s">
        <v>1293</v>
      </c>
      <c r="E195" s="26" t="s">
        <v>1294</v>
      </c>
      <c r="F195" s="26" t="s">
        <v>1770</v>
      </c>
      <c r="G195" s="79">
        <v>11.61</v>
      </c>
    </row>
    <row r="196" spans="1:7" x14ac:dyDescent="0.25">
      <c r="A196" s="26" t="str">
        <f t="shared" si="6"/>
        <v>IIN00A_NEHST_BYERS</v>
      </c>
      <c r="B196" s="26" t="s">
        <v>1489</v>
      </c>
      <c r="C196" s="26" t="s">
        <v>1810</v>
      </c>
      <c r="D196" s="26" t="s">
        <v>1293</v>
      </c>
      <c r="E196" s="26" t="s">
        <v>1294</v>
      </c>
      <c r="F196" s="26" t="s">
        <v>1770</v>
      </c>
      <c r="G196" s="79">
        <v>97.2</v>
      </c>
    </row>
    <row r="197" spans="1:7" x14ac:dyDescent="0.25">
      <c r="A197" s="26" t="str">
        <f t="shared" si="6"/>
        <v>IIN02A_NEHST_BYERS</v>
      </c>
      <c r="B197" s="26" t="s">
        <v>1492</v>
      </c>
      <c r="C197" s="26" t="s">
        <v>1810</v>
      </c>
      <c r="D197" s="26" t="s">
        <v>1293</v>
      </c>
      <c r="E197" s="26" t="s">
        <v>1294</v>
      </c>
      <c r="F197" s="26" t="s">
        <v>1770</v>
      </c>
      <c r="G197" s="79">
        <v>113.4</v>
      </c>
    </row>
    <row r="198" spans="1:7" x14ac:dyDescent="0.25">
      <c r="A198" s="26" t="str">
        <f t="shared" si="6"/>
        <v>IIN04A_NEHST_BYERS</v>
      </c>
      <c r="B198" s="26" t="s">
        <v>1495</v>
      </c>
      <c r="C198" s="26" t="s">
        <v>1810</v>
      </c>
      <c r="D198" s="26" t="s">
        <v>1293</v>
      </c>
      <c r="E198" s="26" t="s">
        <v>1294</v>
      </c>
      <c r="F198" s="26" t="s">
        <v>1770</v>
      </c>
      <c r="G198" s="79">
        <v>14.26</v>
      </c>
    </row>
    <row r="199" spans="1:7" x14ac:dyDescent="0.25">
      <c r="A199" s="26" t="str">
        <f t="shared" si="6"/>
        <v>IIN06A_NEHST_BYERS</v>
      </c>
      <c r="B199" s="26" t="s">
        <v>1497</v>
      </c>
      <c r="C199" s="26" t="s">
        <v>1810</v>
      </c>
      <c r="D199" s="26" t="s">
        <v>1293</v>
      </c>
      <c r="E199" s="26" t="s">
        <v>1294</v>
      </c>
      <c r="F199" s="26" t="s">
        <v>1770</v>
      </c>
      <c r="G199" s="79">
        <v>18.14</v>
      </c>
    </row>
    <row r="200" spans="1:7" x14ac:dyDescent="0.25">
      <c r="A200" s="26" t="str">
        <f t="shared" si="6"/>
        <v>IIN08A_NEHST_BYERS</v>
      </c>
      <c r="B200" s="26" t="s">
        <v>1499</v>
      </c>
      <c r="C200" s="26" t="s">
        <v>1810</v>
      </c>
      <c r="D200" s="26" t="s">
        <v>1293</v>
      </c>
      <c r="E200" s="26" t="s">
        <v>1294</v>
      </c>
      <c r="F200" s="26" t="s">
        <v>1770</v>
      </c>
      <c r="G200" s="79">
        <v>291.60000000000002</v>
      </c>
    </row>
    <row r="201" spans="1:7" x14ac:dyDescent="0.25">
      <c r="A201" s="26" t="str">
        <f t="shared" si="6"/>
        <v>IIN10A_NEHST_BYERS</v>
      </c>
      <c r="B201" s="26" t="s">
        <v>1792</v>
      </c>
      <c r="C201" s="26" t="s">
        <v>1810</v>
      </c>
      <c r="D201" s="26" t="s">
        <v>1293</v>
      </c>
      <c r="E201" s="26" t="s">
        <v>1294</v>
      </c>
      <c r="F201" s="26" t="s">
        <v>1770</v>
      </c>
      <c r="G201" s="26" t="s">
        <v>1805</v>
      </c>
    </row>
    <row r="202" spans="1:7" x14ac:dyDescent="0.25">
      <c r="A202" s="26" t="str">
        <f t="shared" si="6"/>
        <v>IIN12A_NEHST_BYERS</v>
      </c>
      <c r="B202" s="26" t="s">
        <v>1793</v>
      </c>
      <c r="C202" s="26" t="s">
        <v>1810</v>
      </c>
      <c r="D202" s="26" t="s">
        <v>1293</v>
      </c>
      <c r="E202" s="26" t="s">
        <v>1294</v>
      </c>
      <c r="F202" s="26" t="s">
        <v>1770</v>
      </c>
      <c r="G202" s="26" t="s">
        <v>1805</v>
      </c>
    </row>
    <row r="203" spans="1:7" x14ac:dyDescent="0.25">
      <c r="A203" s="26" t="str">
        <f t="shared" si="6"/>
        <v>IPO00A_NEHST_BYERS</v>
      </c>
      <c r="B203" s="26" t="s">
        <v>1500</v>
      </c>
      <c r="C203" s="26" t="s">
        <v>1810</v>
      </c>
      <c r="D203" s="26" t="s">
        <v>1293</v>
      </c>
      <c r="E203" s="26" t="s">
        <v>1294</v>
      </c>
      <c r="F203" s="26" t="s">
        <v>1770</v>
      </c>
      <c r="G203" s="79">
        <v>48.6</v>
      </c>
    </row>
    <row r="204" spans="1:7" x14ac:dyDescent="0.25">
      <c r="A204" s="26" t="str">
        <f t="shared" si="6"/>
        <v>IPO02A_NEHST_BYERS</v>
      </c>
      <c r="B204" s="26" t="s">
        <v>1502</v>
      </c>
      <c r="C204" s="26" t="s">
        <v>1810</v>
      </c>
      <c r="D204" s="26" t="s">
        <v>1293</v>
      </c>
      <c r="E204" s="26" t="s">
        <v>1294</v>
      </c>
      <c r="F204" s="26" t="s">
        <v>1770</v>
      </c>
      <c r="G204" s="79">
        <v>23.98</v>
      </c>
    </row>
    <row r="205" spans="1:7" x14ac:dyDescent="0.25">
      <c r="A205" s="26" t="str">
        <f t="shared" si="6"/>
        <v>IPO04A_NEHST_BYERS</v>
      </c>
      <c r="B205" s="26" t="s">
        <v>1504</v>
      </c>
      <c r="C205" s="26" t="s">
        <v>1810</v>
      </c>
      <c r="D205" s="26" t="s">
        <v>1293</v>
      </c>
      <c r="E205" s="26" t="s">
        <v>1294</v>
      </c>
      <c r="F205" s="26" t="s">
        <v>1770</v>
      </c>
      <c r="G205" s="79">
        <v>68.69</v>
      </c>
    </row>
    <row r="206" spans="1:7" x14ac:dyDescent="0.25">
      <c r="A206" s="26" t="str">
        <f t="shared" si="6"/>
        <v>IPO06A_NEHST_BYERS</v>
      </c>
      <c r="B206" s="26" t="s">
        <v>1506</v>
      </c>
      <c r="C206" s="26" t="s">
        <v>1810</v>
      </c>
      <c r="D206" s="26" t="s">
        <v>1293</v>
      </c>
      <c r="E206" s="26" t="s">
        <v>1294</v>
      </c>
      <c r="F206" s="26" t="s">
        <v>1770</v>
      </c>
      <c r="G206" s="79">
        <v>2.59</v>
      </c>
    </row>
    <row r="207" spans="1:7" x14ac:dyDescent="0.25">
      <c r="A207" s="26" t="str">
        <f t="shared" si="6"/>
        <v>IPO08A_NEHST_BYERS</v>
      </c>
      <c r="B207" s="26" t="s">
        <v>1509</v>
      </c>
      <c r="C207" s="26" t="s">
        <v>1810</v>
      </c>
      <c r="D207" s="26" t="s">
        <v>1293</v>
      </c>
      <c r="E207" s="26" t="s">
        <v>1294</v>
      </c>
      <c r="F207" s="26" t="s">
        <v>1770</v>
      </c>
      <c r="G207" s="79">
        <v>2.5299999999999998</v>
      </c>
    </row>
    <row r="208" spans="1:7" x14ac:dyDescent="0.25">
      <c r="A208" s="26" t="str">
        <f t="shared" si="6"/>
        <v>IPI00A_NEHST_BYERS</v>
      </c>
      <c r="B208" s="26" t="s">
        <v>1511</v>
      </c>
      <c r="C208" s="26" t="s">
        <v>1810</v>
      </c>
      <c r="D208" s="26" t="s">
        <v>1293</v>
      </c>
      <c r="E208" s="26" t="s">
        <v>1294</v>
      </c>
      <c r="F208" s="26" t="s">
        <v>1770</v>
      </c>
      <c r="G208" s="79">
        <v>3.08</v>
      </c>
    </row>
    <row r="209" spans="1:7" x14ac:dyDescent="0.25">
      <c r="A209" s="26" t="str">
        <f t="shared" si="6"/>
        <v>IPI02A_NEHST_BYERS</v>
      </c>
      <c r="B209" s="26" t="s">
        <v>1513</v>
      </c>
      <c r="C209" s="26" t="s">
        <v>1810</v>
      </c>
      <c r="D209" s="26" t="s">
        <v>1293</v>
      </c>
      <c r="E209" s="26" t="s">
        <v>1294</v>
      </c>
      <c r="F209" s="26" t="s">
        <v>1770</v>
      </c>
      <c r="G209" s="79">
        <v>6.16</v>
      </c>
    </row>
    <row r="210" spans="1:7" x14ac:dyDescent="0.25">
      <c r="A210" s="26" t="str">
        <f t="shared" si="6"/>
        <v>ISS00A_NEHST_BYERS</v>
      </c>
      <c r="B210" s="26" t="s">
        <v>1515</v>
      </c>
      <c r="C210" s="26" t="s">
        <v>1810</v>
      </c>
      <c r="D210" s="26" t="s">
        <v>1293</v>
      </c>
      <c r="E210" s="26" t="s">
        <v>1294</v>
      </c>
      <c r="F210" s="26" t="s">
        <v>1770</v>
      </c>
      <c r="G210" s="79">
        <v>27.22</v>
      </c>
    </row>
    <row r="211" spans="1:7" x14ac:dyDescent="0.25">
      <c r="A211" s="26" t="str">
        <f t="shared" si="6"/>
        <v>ISS02A_NEHST_BYERS</v>
      </c>
      <c r="B211" s="26" t="s">
        <v>1517</v>
      </c>
      <c r="C211" s="26" t="s">
        <v>1810</v>
      </c>
      <c r="D211" s="26" t="s">
        <v>1293</v>
      </c>
      <c r="E211" s="26" t="s">
        <v>1294</v>
      </c>
      <c r="F211" s="26" t="s">
        <v>1770</v>
      </c>
      <c r="G211" s="79">
        <v>66.099999999999994</v>
      </c>
    </row>
    <row r="212" spans="1:7" x14ac:dyDescent="0.25">
      <c r="A212" s="26" t="str">
        <f t="shared" si="6"/>
        <v>TPE00A_NEHST_BYERS</v>
      </c>
      <c r="B212" s="26" t="s">
        <v>1520</v>
      </c>
      <c r="C212" s="26" t="s">
        <v>1810</v>
      </c>
      <c r="D212" s="26" t="s">
        <v>1293</v>
      </c>
      <c r="E212" s="26" t="s">
        <v>1294</v>
      </c>
      <c r="F212" s="26" t="s">
        <v>1770</v>
      </c>
      <c r="G212" s="79">
        <v>65.290000000000006</v>
      </c>
    </row>
    <row r="213" spans="1:7" x14ac:dyDescent="0.25">
      <c r="A213" s="26" t="str">
        <f t="shared" si="6"/>
        <v>TPE02A_NEHST_BYERS</v>
      </c>
      <c r="B213" s="26" t="s">
        <v>1522</v>
      </c>
      <c r="C213" s="26" t="s">
        <v>1810</v>
      </c>
      <c r="D213" s="26" t="s">
        <v>1293</v>
      </c>
      <c r="E213" s="26" t="s">
        <v>1294</v>
      </c>
      <c r="F213" s="26" t="s">
        <v>1770</v>
      </c>
      <c r="G213" s="79">
        <v>87.89</v>
      </c>
    </row>
    <row r="214" spans="1:7" x14ac:dyDescent="0.25">
      <c r="A214" s="26" t="str">
        <f t="shared" si="6"/>
        <v>TPE04A_NEHST_BYERS</v>
      </c>
      <c r="B214" s="26" t="s">
        <v>1524</v>
      </c>
      <c r="C214" s="26" t="s">
        <v>1810</v>
      </c>
      <c r="D214" s="26" t="s">
        <v>1293</v>
      </c>
      <c r="E214" s="26" t="s">
        <v>1294</v>
      </c>
      <c r="F214" s="26" t="s">
        <v>1770</v>
      </c>
      <c r="G214" s="79">
        <v>0.73</v>
      </c>
    </row>
    <row r="215" spans="1:7" x14ac:dyDescent="0.25">
      <c r="A215" s="26" t="str">
        <f t="shared" si="6"/>
        <v>TPE06A_NEHST_BYERS</v>
      </c>
      <c r="B215" s="26" t="s">
        <v>1526</v>
      </c>
      <c r="C215" s="26" t="s">
        <v>1810</v>
      </c>
      <c r="D215" s="26" t="s">
        <v>1293</v>
      </c>
      <c r="E215" s="26" t="s">
        <v>1294</v>
      </c>
      <c r="F215" s="26" t="s">
        <v>1770</v>
      </c>
      <c r="G215" s="79">
        <v>0.47</v>
      </c>
    </row>
    <row r="216" spans="1:7" x14ac:dyDescent="0.25">
      <c r="A216" s="26" t="str">
        <f t="shared" si="6"/>
        <v>TCP00A_NEHST_BYERS</v>
      </c>
      <c r="B216" s="26" t="s">
        <v>1529</v>
      </c>
      <c r="C216" s="26" t="s">
        <v>1810</v>
      </c>
      <c r="D216" s="26" t="s">
        <v>1293</v>
      </c>
      <c r="E216" s="26" t="s">
        <v>1294</v>
      </c>
      <c r="F216" s="26" t="s">
        <v>1770</v>
      </c>
      <c r="G216" s="79">
        <v>95.42</v>
      </c>
    </row>
    <row r="217" spans="1:7" x14ac:dyDescent="0.25">
      <c r="A217" s="26" t="str">
        <f t="shared" si="6"/>
        <v>TOP00A_NEHST_BYERS</v>
      </c>
      <c r="B217" s="26" t="s">
        <v>1532</v>
      </c>
      <c r="C217" s="26" t="s">
        <v>1810</v>
      </c>
      <c r="D217" s="26" t="s">
        <v>1293</v>
      </c>
      <c r="E217" s="26" t="s">
        <v>1294</v>
      </c>
      <c r="F217" s="26" t="s">
        <v>1770</v>
      </c>
      <c r="G217" s="79">
        <v>141.62</v>
      </c>
    </row>
    <row r="218" spans="1:7" x14ac:dyDescent="0.25">
      <c r="A218" s="26" t="str">
        <f t="shared" si="6"/>
        <v>TOP02A_NEHST_BYERS</v>
      </c>
      <c r="B218" s="26" t="s">
        <v>1535</v>
      </c>
      <c r="C218" s="26" t="s">
        <v>1810</v>
      </c>
      <c r="D218" s="26" t="s">
        <v>1293</v>
      </c>
      <c r="E218" s="26" t="s">
        <v>1294</v>
      </c>
      <c r="F218" s="26" t="s">
        <v>1770</v>
      </c>
      <c r="G218" s="79">
        <v>57.75</v>
      </c>
    </row>
    <row r="219" spans="1:7" x14ac:dyDescent="0.25">
      <c r="A219" s="26" t="str">
        <f t="shared" si="6"/>
        <v>TOP04A_NEHST_BYERS</v>
      </c>
      <c r="B219" s="26" t="s">
        <v>1537</v>
      </c>
      <c r="C219" s="26" t="s">
        <v>1810</v>
      </c>
      <c r="D219" s="26" t="s">
        <v>1293</v>
      </c>
      <c r="E219" s="26" t="s">
        <v>1294</v>
      </c>
      <c r="F219" s="26" t="s">
        <v>1770</v>
      </c>
      <c r="G219" s="79">
        <v>36.159999999999997</v>
      </c>
    </row>
    <row r="220" spans="1:7" x14ac:dyDescent="0.25">
      <c r="A220" s="26" t="str">
        <f t="shared" si="6"/>
        <v>T0P06A_NEHST_BYERS</v>
      </c>
      <c r="B220" s="26" t="s">
        <v>1540</v>
      </c>
      <c r="C220" s="26" t="s">
        <v>1810</v>
      </c>
      <c r="D220" s="26" t="s">
        <v>1293</v>
      </c>
      <c r="E220" s="26" t="s">
        <v>1294</v>
      </c>
      <c r="F220" s="26" t="s">
        <v>1770</v>
      </c>
      <c r="G220" s="79" t="s">
        <v>1805</v>
      </c>
    </row>
    <row r="221" spans="1:7" x14ac:dyDescent="0.25">
      <c r="A221" s="26" t="str">
        <f t="shared" si="6"/>
        <v>TOP08A_NEHST_BYERS</v>
      </c>
      <c r="B221" s="26" t="s">
        <v>1542</v>
      </c>
      <c r="C221" s="26" t="s">
        <v>1810</v>
      </c>
      <c r="D221" s="26" t="s">
        <v>1293</v>
      </c>
      <c r="E221" s="26" t="s">
        <v>1294</v>
      </c>
      <c r="F221" s="26" t="s">
        <v>1770</v>
      </c>
      <c r="G221" s="79">
        <v>0.78</v>
      </c>
    </row>
    <row r="222" spans="1:7" x14ac:dyDescent="0.25">
      <c r="A222" s="26" t="str">
        <f t="shared" si="6"/>
        <v>TPS00A_NEHST_BYERS</v>
      </c>
      <c r="B222" s="26" t="s">
        <v>1544</v>
      </c>
      <c r="C222" s="26" t="s">
        <v>1810</v>
      </c>
      <c r="D222" s="26" t="s">
        <v>1293</v>
      </c>
      <c r="E222" s="26" t="s">
        <v>1294</v>
      </c>
      <c r="F222" s="26" t="s">
        <v>1770</v>
      </c>
      <c r="G222" s="79">
        <v>150.66</v>
      </c>
    </row>
    <row r="223" spans="1:7" x14ac:dyDescent="0.25">
      <c r="A223" s="26" t="str">
        <f t="shared" si="6"/>
        <v>DCA00A_NEHST_BYERS</v>
      </c>
      <c r="B223" s="26" t="s">
        <v>1574</v>
      </c>
      <c r="C223" s="26" t="s">
        <v>1810</v>
      </c>
      <c r="D223" s="26" t="s">
        <v>1293</v>
      </c>
      <c r="E223" s="26" t="s">
        <v>1294</v>
      </c>
      <c r="F223" s="26" t="s">
        <v>1770</v>
      </c>
      <c r="G223" s="79">
        <v>0.8</v>
      </c>
    </row>
    <row r="224" spans="1:7" x14ac:dyDescent="0.25">
      <c r="A224" s="26" t="str">
        <f t="shared" si="6"/>
        <v>DCA02A_NEHST_BYERS</v>
      </c>
      <c r="B224" s="26" t="s">
        <v>1576</v>
      </c>
      <c r="C224" s="26" t="s">
        <v>1810</v>
      </c>
      <c r="D224" s="26" t="s">
        <v>1293</v>
      </c>
      <c r="E224" s="26" t="s">
        <v>1294</v>
      </c>
      <c r="F224" s="26" t="s">
        <v>1770</v>
      </c>
      <c r="G224" s="79">
        <v>0</v>
      </c>
    </row>
    <row r="225" spans="1:7" x14ac:dyDescent="0.25">
      <c r="A225" s="26" t="str">
        <f t="shared" si="6"/>
        <v>DCA04A_NEHST_BYERS</v>
      </c>
      <c r="B225" s="26" t="s">
        <v>1578</v>
      </c>
      <c r="C225" s="26" t="s">
        <v>1810</v>
      </c>
      <c r="D225" s="26" t="s">
        <v>1293</v>
      </c>
      <c r="E225" s="26" t="s">
        <v>1294</v>
      </c>
      <c r="F225" s="26" t="s">
        <v>1770</v>
      </c>
      <c r="G225" s="79">
        <v>0.35</v>
      </c>
    </row>
    <row r="226" spans="1:7" x14ac:dyDescent="0.25">
      <c r="A226" s="26" t="str">
        <f t="shared" si="6"/>
        <v>DCA06A_NEHST_BYERS</v>
      </c>
      <c r="B226" s="26" t="s">
        <v>1580</v>
      </c>
      <c r="C226" s="26" t="s">
        <v>1810</v>
      </c>
      <c r="D226" s="26" t="s">
        <v>1293</v>
      </c>
      <c r="E226" s="26" t="s">
        <v>1294</v>
      </c>
      <c r="F226" s="26" t="s">
        <v>1770</v>
      </c>
      <c r="G226" s="79">
        <v>1.48</v>
      </c>
    </row>
    <row r="227" spans="1:7" x14ac:dyDescent="0.25">
      <c r="A227" s="26" t="str">
        <f t="shared" si="6"/>
        <v>DCA08A_NEHST_BYERS</v>
      </c>
      <c r="B227" s="26" t="s">
        <v>1582</v>
      </c>
      <c r="C227" s="26" t="s">
        <v>1810</v>
      </c>
      <c r="D227" s="26" t="s">
        <v>1293</v>
      </c>
      <c r="E227" s="26" t="s">
        <v>1294</v>
      </c>
      <c r="F227" s="26" t="s">
        <v>1770</v>
      </c>
      <c r="G227" s="79">
        <v>0</v>
      </c>
    </row>
    <row r="228" spans="1:7" x14ac:dyDescent="0.25">
      <c r="A228" s="26" t="str">
        <f t="shared" si="6"/>
        <v>DCA10A_NEHST_BYERS</v>
      </c>
      <c r="B228" s="26" t="s">
        <v>1584</v>
      </c>
      <c r="C228" s="26" t="s">
        <v>1810</v>
      </c>
      <c r="D228" s="26" t="s">
        <v>1293</v>
      </c>
      <c r="E228" s="26" t="s">
        <v>1294</v>
      </c>
      <c r="F228" s="26" t="s">
        <v>1770</v>
      </c>
      <c r="G228" s="79">
        <v>0</v>
      </c>
    </row>
    <row r="229" spans="1:7" x14ac:dyDescent="0.25">
      <c r="A229" s="26" t="str">
        <f t="shared" si="6"/>
        <v>DCA12A_NEHST_BYERS</v>
      </c>
      <c r="B229" s="26" t="s">
        <v>1586</v>
      </c>
      <c r="C229" s="26" t="s">
        <v>1810</v>
      </c>
      <c r="D229" s="26" t="s">
        <v>1293</v>
      </c>
      <c r="E229" s="26" t="s">
        <v>1294</v>
      </c>
      <c r="F229" s="26" t="s">
        <v>1770</v>
      </c>
      <c r="G229" s="79">
        <v>0</v>
      </c>
    </row>
    <row r="230" spans="1:7" x14ac:dyDescent="0.25">
      <c r="A230" s="26" t="str">
        <f t="shared" si="6"/>
        <v>DCA14A_NEHST_BYERS</v>
      </c>
      <c r="B230" s="26" t="s">
        <v>1588</v>
      </c>
      <c r="C230" s="26" t="s">
        <v>1810</v>
      </c>
      <c r="D230" s="26" t="s">
        <v>1293</v>
      </c>
      <c r="E230" s="26" t="s">
        <v>1294</v>
      </c>
      <c r="F230" s="26" t="s">
        <v>1770</v>
      </c>
      <c r="G230" s="79">
        <v>0.56000000000000005</v>
      </c>
    </row>
    <row r="231" spans="1:7" x14ac:dyDescent="0.25">
      <c r="A231" s="26" t="str">
        <f t="shared" si="6"/>
        <v>DCA16A_NEHST_BYERS</v>
      </c>
      <c r="B231" s="26" t="s">
        <v>1590</v>
      </c>
      <c r="C231" s="26" t="s">
        <v>1810</v>
      </c>
      <c r="D231" s="26" t="s">
        <v>1293</v>
      </c>
      <c r="E231" s="26" t="s">
        <v>1294</v>
      </c>
      <c r="F231" s="26" t="s">
        <v>1770</v>
      </c>
      <c r="G231" s="79">
        <v>2.17</v>
      </c>
    </row>
    <row r="232" spans="1:7" x14ac:dyDescent="0.25">
      <c r="A232" s="26" t="str">
        <f t="shared" si="6"/>
        <v>ODA00A_NEHST_BYERS</v>
      </c>
      <c r="B232" s="26" t="s">
        <v>1592</v>
      </c>
      <c r="C232" s="26" t="s">
        <v>1810</v>
      </c>
      <c r="D232" s="26" t="s">
        <v>1293</v>
      </c>
      <c r="E232" s="26" t="s">
        <v>1294</v>
      </c>
      <c r="F232" s="26" t="s">
        <v>1770</v>
      </c>
      <c r="G232" s="79">
        <v>3.73</v>
      </c>
    </row>
    <row r="233" spans="1:7" x14ac:dyDescent="0.25">
      <c r="A233" s="26" t="str">
        <f t="shared" si="6"/>
        <v>ODA02A_NEHST_BYERS</v>
      </c>
      <c r="B233" s="26" t="s">
        <v>1595</v>
      </c>
      <c r="C233" s="26" t="s">
        <v>1810</v>
      </c>
      <c r="D233" s="26" t="s">
        <v>1293</v>
      </c>
      <c r="E233" s="26" t="s">
        <v>1294</v>
      </c>
      <c r="F233" s="26" t="s">
        <v>1770</v>
      </c>
      <c r="G233" s="79">
        <v>0.81</v>
      </c>
    </row>
    <row r="234" spans="1:7" x14ac:dyDescent="0.25">
      <c r="A234" s="26" t="str">
        <f t="shared" si="6"/>
        <v>ODA04A_NEHST_BYERS</v>
      </c>
      <c r="B234" s="26" t="s">
        <v>1598</v>
      </c>
      <c r="C234" s="26" t="s">
        <v>1810</v>
      </c>
      <c r="D234" s="26" t="s">
        <v>1293</v>
      </c>
      <c r="E234" s="26" t="s">
        <v>1294</v>
      </c>
      <c r="F234" s="26" t="s">
        <v>1770</v>
      </c>
      <c r="G234" s="79">
        <v>0.05</v>
      </c>
    </row>
    <row r="235" spans="1:7" x14ac:dyDescent="0.25">
      <c r="A235" s="26" t="str">
        <f t="shared" si="6"/>
        <v>ODA06A_NEHST_BYERS</v>
      </c>
      <c r="B235" s="26" t="s">
        <v>1601</v>
      </c>
      <c r="C235" s="26" t="s">
        <v>1810</v>
      </c>
      <c r="D235" s="26" t="s">
        <v>1293</v>
      </c>
      <c r="E235" s="26" t="s">
        <v>1294</v>
      </c>
      <c r="F235" s="26" t="s">
        <v>1770</v>
      </c>
      <c r="G235" s="79">
        <v>0.01</v>
      </c>
    </row>
    <row r="236" spans="1:7" x14ac:dyDescent="0.25">
      <c r="A236" s="26" t="str">
        <f t="shared" si="6"/>
        <v>ODA08A_NEHST_BYERS</v>
      </c>
      <c r="B236" s="26" t="s">
        <v>1604</v>
      </c>
      <c r="C236" s="26" t="s">
        <v>1810</v>
      </c>
      <c r="D236" s="26" t="s">
        <v>1293</v>
      </c>
      <c r="E236" s="26" t="s">
        <v>1294</v>
      </c>
      <c r="F236" s="26" t="s">
        <v>1770</v>
      </c>
      <c r="G236" s="79">
        <v>0.01</v>
      </c>
    </row>
    <row r="237" spans="1:7" x14ac:dyDescent="0.25">
      <c r="A237" s="26" t="str">
        <f t="shared" si="6"/>
        <v>SAC00A_NEHST_BYERS</v>
      </c>
      <c r="B237" s="26" t="s">
        <v>1607</v>
      </c>
      <c r="C237" s="26" t="s">
        <v>1810</v>
      </c>
      <c r="D237" s="26" t="s">
        <v>1293</v>
      </c>
      <c r="E237" s="26" t="s">
        <v>1294</v>
      </c>
      <c r="F237" s="26" t="s">
        <v>1770</v>
      </c>
      <c r="G237" s="79">
        <v>1.97</v>
      </c>
    </row>
    <row r="238" spans="1:7" x14ac:dyDescent="0.25">
      <c r="A238" s="26" t="str">
        <f t="shared" si="6"/>
        <v>SAC02A_NEHST_BYERS</v>
      </c>
      <c r="B238" s="26" t="s">
        <v>1609</v>
      </c>
      <c r="C238" s="26" t="s">
        <v>1810</v>
      </c>
      <c r="D238" s="26" t="s">
        <v>1293</v>
      </c>
      <c r="E238" s="26" t="s">
        <v>1294</v>
      </c>
      <c r="F238" s="26" t="s">
        <v>1770</v>
      </c>
      <c r="G238" s="79">
        <v>1.53</v>
      </c>
    </row>
    <row r="239" spans="1:7" x14ac:dyDescent="0.25">
      <c r="A239" s="26" t="str">
        <f t="shared" si="6"/>
        <v>SAC04A_NEHST_BYERS</v>
      </c>
      <c r="B239" s="26" t="s">
        <v>1611</v>
      </c>
      <c r="C239" s="26" t="s">
        <v>1810</v>
      </c>
      <c r="D239" s="26" t="s">
        <v>1293</v>
      </c>
      <c r="E239" s="26" t="s">
        <v>1294</v>
      </c>
      <c r="F239" s="26" t="s">
        <v>1770</v>
      </c>
      <c r="G239" s="79">
        <v>0.38</v>
      </c>
    </row>
    <row r="240" spans="1:7" x14ac:dyDescent="0.25">
      <c r="A240" s="26" t="str">
        <f t="shared" si="6"/>
        <v>SAE00A_NEHST_BYERS</v>
      </c>
      <c r="B240" s="26" t="s">
        <v>1613</v>
      </c>
      <c r="C240" s="26" t="s">
        <v>1810</v>
      </c>
      <c r="D240" s="26" t="s">
        <v>1293</v>
      </c>
      <c r="E240" s="26" t="s">
        <v>1294</v>
      </c>
      <c r="F240" s="26" t="s">
        <v>1770</v>
      </c>
      <c r="G240" s="79">
        <v>0.41</v>
      </c>
    </row>
    <row r="241" spans="1:7" x14ac:dyDescent="0.25">
      <c r="A241" s="26" t="str">
        <f t="shared" si="6"/>
        <v>SAE02A_NEHST_BYERS</v>
      </c>
      <c r="B241" s="26" t="s">
        <v>1797</v>
      </c>
      <c r="C241" s="26" t="s">
        <v>1810</v>
      </c>
      <c r="D241" s="26" t="s">
        <v>1293</v>
      </c>
      <c r="E241" s="26" t="s">
        <v>1294</v>
      </c>
      <c r="F241" s="26" t="s">
        <v>1770</v>
      </c>
      <c r="G241" s="79" t="s">
        <v>1805</v>
      </c>
    </row>
    <row r="242" spans="1:7" x14ac:dyDescent="0.25">
      <c r="A242" s="26" t="str">
        <f t="shared" si="6"/>
        <v>SAE04A_NEHST_BYERS</v>
      </c>
      <c r="B242" s="26" t="s">
        <v>1798</v>
      </c>
      <c r="C242" s="26" t="s">
        <v>1810</v>
      </c>
      <c r="D242" s="26" t="s">
        <v>1293</v>
      </c>
      <c r="E242" s="26" t="s">
        <v>1294</v>
      </c>
      <c r="F242" s="26" t="s">
        <v>1770</v>
      </c>
      <c r="G242" s="79" t="s">
        <v>1805</v>
      </c>
    </row>
    <row r="243" spans="1:7" x14ac:dyDescent="0.25">
      <c r="A243" s="26" t="str">
        <f t="shared" si="6"/>
        <v>SUG00A_NEHST_BYERS</v>
      </c>
      <c r="B243" s="26" t="s">
        <v>1615</v>
      </c>
      <c r="C243" s="26" t="s">
        <v>1810</v>
      </c>
      <c r="D243" s="26" t="s">
        <v>1293</v>
      </c>
      <c r="E243" s="26" t="s">
        <v>1294</v>
      </c>
      <c r="F243" s="26" t="s">
        <v>1770</v>
      </c>
      <c r="G243" s="79">
        <v>2.84</v>
      </c>
    </row>
    <row r="244" spans="1:7" x14ac:dyDescent="0.25">
      <c r="A244" s="26" t="str">
        <f t="shared" si="6"/>
        <v>SUG02A_NEHST_BYERS</v>
      </c>
      <c r="B244" s="26" t="s">
        <v>1617</v>
      </c>
      <c r="C244" s="26" t="s">
        <v>1810</v>
      </c>
      <c r="D244" s="26" t="s">
        <v>1293</v>
      </c>
      <c r="E244" s="26" t="s">
        <v>1294</v>
      </c>
      <c r="F244" s="26" t="s">
        <v>1770</v>
      </c>
      <c r="G244" s="79">
        <v>0.28000000000000003</v>
      </c>
    </row>
    <row r="245" spans="1:7" x14ac:dyDescent="0.25">
      <c r="A245" s="26" t="str">
        <f t="shared" si="6"/>
        <v>SUG02A_NEHST_BYERS</v>
      </c>
      <c r="B245" s="26" t="s">
        <v>1617</v>
      </c>
      <c r="C245" s="26" t="s">
        <v>1810</v>
      </c>
      <c r="D245" s="26" t="s">
        <v>1293</v>
      </c>
      <c r="E245" s="26" t="s">
        <v>1294</v>
      </c>
      <c r="F245" s="26" t="s">
        <v>1770</v>
      </c>
      <c r="G245" s="79">
        <v>0.28000000000000003</v>
      </c>
    </row>
    <row r="246" spans="1:7" x14ac:dyDescent="0.25">
      <c r="A246" s="26" t="str">
        <f t="shared" si="6"/>
        <v>ROW00A_NEHST_BYERS</v>
      </c>
      <c r="B246" s="26" t="s">
        <v>1619</v>
      </c>
      <c r="C246" s="26" t="s">
        <v>1810</v>
      </c>
      <c r="D246" s="26" t="s">
        <v>1293</v>
      </c>
      <c r="E246" s="26" t="s">
        <v>1294</v>
      </c>
      <c r="F246" s="26" t="s">
        <v>1770</v>
      </c>
      <c r="G246" s="79">
        <v>3.56</v>
      </c>
    </row>
    <row r="247" spans="1:7" x14ac:dyDescent="0.25">
      <c r="A247" s="26" t="str">
        <f t="shared" si="6"/>
        <v>ROW02A_NEHST_BYERS</v>
      </c>
      <c r="B247" s="26" t="s">
        <v>1621</v>
      </c>
      <c r="C247" s="26" t="s">
        <v>1810</v>
      </c>
      <c r="D247" s="26" t="s">
        <v>1293</v>
      </c>
      <c r="E247" s="26" t="s">
        <v>1294</v>
      </c>
      <c r="F247" s="26" t="s">
        <v>1770</v>
      </c>
      <c r="G247" s="79">
        <v>14.04</v>
      </c>
    </row>
    <row r="248" spans="1:7" x14ac:dyDescent="0.25">
      <c r="A248" s="26" t="str">
        <f t="shared" si="6"/>
        <v>ROW04A_NEHST_BYERS</v>
      </c>
      <c r="B248" s="26" t="s">
        <v>1623</v>
      </c>
      <c r="C248" s="26" t="s">
        <v>1810</v>
      </c>
      <c r="D248" s="26" t="s">
        <v>1293</v>
      </c>
      <c r="E248" s="26" t="s">
        <v>1294</v>
      </c>
      <c r="F248" s="26" t="s">
        <v>1770</v>
      </c>
      <c r="G248" s="79">
        <v>9.18</v>
      </c>
    </row>
    <row r="249" spans="1:7" x14ac:dyDescent="0.25">
      <c r="A249" s="26" t="str">
        <f t="shared" si="6"/>
        <v>ROW06A_NEHST_BYERS</v>
      </c>
      <c r="B249" s="26" t="s">
        <v>1625</v>
      </c>
      <c r="C249" s="26" t="s">
        <v>1810</v>
      </c>
      <c r="D249" s="26" t="s">
        <v>1293</v>
      </c>
      <c r="E249" s="26" t="s">
        <v>1294</v>
      </c>
      <c r="F249" s="26" t="s">
        <v>1770</v>
      </c>
      <c r="G249" s="79">
        <v>8.86</v>
      </c>
    </row>
    <row r="250" spans="1:7" x14ac:dyDescent="0.25">
      <c r="A250" s="26" t="str">
        <f t="shared" si="6"/>
        <v>ROW08A_NEHST_BYERS</v>
      </c>
      <c r="B250" s="26" t="s">
        <v>1627</v>
      </c>
      <c r="C250" s="26" t="s">
        <v>1810</v>
      </c>
      <c r="D250" s="26" t="s">
        <v>1293</v>
      </c>
      <c r="E250" s="26" t="s">
        <v>1294</v>
      </c>
      <c r="F250" s="26" t="s">
        <v>1770</v>
      </c>
      <c r="G250" s="80">
        <v>12.74</v>
      </c>
    </row>
    <row r="251" spans="1:7" x14ac:dyDescent="0.25">
      <c r="A251" s="26" t="str">
        <f t="shared" si="6"/>
        <v>ROW10A_NEHST_BYERS</v>
      </c>
      <c r="B251" s="26" t="s">
        <v>1629</v>
      </c>
      <c r="C251" s="26" t="s">
        <v>1810</v>
      </c>
      <c r="D251" s="26" t="s">
        <v>1293</v>
      </c>
      <c r="E251" s="26" t="s">
        <v>1294</v>
      </c>
      <c r="F251" s="26" t="s">
        <v>1770</v>
      </c>
      <c r="G251" s="80">
        <v>3.46</v>
      </c>
    </row>
    <row r="252" spans="1:7" x14ac:dyDescent="0.25">
      <c r="A252" s="26" t="str">
        <f t="shared" si="6"/>
        <v>ROW12A_NEHST_BYERS</v>
      </c>
      <c r="B252" s="26" t="s">
        <v>1631</v>
      </c>
      <c r="C252" s="26" t="s">
        <v>1810</v>
      </c>
      <c r="D252" s="26" t="s">
        <v>1293</v>
      </c>
      <c r="E252" s="26" t="s">
        <v>1294</v>
      </c>
      <c r="F252" s="26" t="s">
        <v>1770</v>
      </c>
      <c r="G252" s="80">
        <v>2.16</v>
      </c>
    </row>
    <row r="253" spans="1:7" x14ac:dyDescent="0.25">
      <c r="A253" s="26" t="str">
        <f t="shared" si="6"/>
        <v>ROW14A_NEHST_BYERS</v>
      </c>
      <c r="B253" s="26" t="s">
        <v>1633</v>
      </c>
      <c r="C253" s="26" t="s">
        <v>1810</v>
      </c>
      <c r="D253" s="26" t="s">
        <v>1293</v>
      </c>
      <c r="E253" s="26" t="s">
        <v>1294</v>
      </c>
      <c r="F253" s="26" t="s">
        <v>1770</v>
      </c>
      <c r="G253" s="80">
        <v>10.58</v>
      </c>
    </row>
    <row r="254" spans="1:7" x14ac:dyDescent="0.25">
      <c r="A254" s="26" t="str">
        <f t="shared" si="6"/>
        <v>ROW16A_NEHST_BYERS</v>
      </c>
      <c r="B254" s="26" t="s">
        <v>1635</v>
      </c>
      <c r="C254" s="26" t="s">
        <v>1810</v>
      </c>
      <c r="D254" s="26" t="s">
        <v>1293</v>
      </c>
      <c r="E254" s="26" t="s">
        <v>1294</v>
      </c>
      <c r="F254" s="26" t="s">
        <v>1770</v>
      </c>
      <c r="G254" s="80">
        <v>5.89</v>
      </c>
    </row>
    <row r="255" spans="1:7" x14ac:dyDescent="0.25">
      <c r="A255" s="26" t="str">
        <f t="shared" si="6"/>
        <v>ROW18A_NEHST_BYERS</v>
      </c>
      <c r="B255" s="26" t="s">
        <v>1637</v>
      </c>
      <c r="C255" s="26" t="s">
        <v>1810</v>
      </c>
      <c r="D255" s="26" t="s">
        <v>1293</v>
      </c>
      <c r="E255" s="26" t="s">
        <v>1294</v>
      </c>
      <c r="F255" s="26" t="s">
        <v>1770</v>
      </c>
      <c r="G255" s="80">
        <v>7.18</v>
      </c>
    </row>
    <row r="256" spans="1:7" x14ac:dyDescent="0.25">
      <c r="A256" s="26" t="str">
        <f t="shared" si="6"/>
        <v>ROW20A_NEHST_BYERS</v>
      </c>
      <c r="B256" s="26" t="s">
        <v>1639</v>
      </c>
      <c r="C256" s="26" t="s">
        <v>1810</v>
      </c>
      <c r="D256" s="26" t="s">
        <v>1293</v>
      </c>
      <c r="E256" s="26" t="s">
        <v>1294</v>
      </c>
      <c r="F256" s="26" t="s">
        <v>1770</v>
      </c>
      <c r="G256" s="80">
        <v>4.22</v>
      </c>
    </row>
    <row r="257" spans="1:7" x14ac:dyDescent="0.25">
      <c r="A257" s="26" t="str">
        <f t="shared" si="6"/>
        <v>ROW22A_NEHST_BYERS</v>
      </c>
      <c r="B257" s="26" t="s">
        <v>1641</v>
      </c>
      <c r="C257" s="26" t="s">
        <v>1810</v>
      </c>
      <c r="D257" s="26" t="s">
        <v>1293</v>
      </c>
      <c r="E257" s="26" t="s">
        <v>1294</v>
      </c>
      <c r="F257" s="26" t="s">
        <v>1770</v>
      </c>
      <c r="G257" s="80">
        <v>6.38</v>
      </c>
    </row>
    <row r="258" spans="1:7" x14ac:dyDescent="0.25">
      <c r="A258" s="26" t="str">
        <f t="shared" si="6"/>
        <v>ROW24A_NEHST_BYERS</v>
      </c>
      <c r="B258" s="26" t="s">
        <v>1643</v>
      </c>
      <c r="C258" s="26" t="s">
        <v>1810</v>
      </c>
      <c r="D258" s="26" t="s">
        <v>1293</v>
      </c>
      <c r="E258" s="26" t="s">
        <v>1294</v>
      </c>
      <c r="F258" s="26" t="s">
        <v>1770</v>
      </c>
      <c r="G258" s="80">
        <v>1.05</v>
      </c>
    </row>
    <row r="259" spans="1:7" x14ac:dyDescent="0.25">
      <c r="A259" s="26" t="str">
        <f t="shared" ref="A259:A322" si="7">B259&amp;"_"&amp;C259&amp;"_"&amp;E259</f>
        <v>ROW26A_NEHST_BYERS</v>
      </c>
      <c r="B259" s="26" t="s">
        <v>1646</v>
      </c>
      <c r="C259" s="26" t="s">
        <v>1810</v>
      </c>
      <c r="D259" s="26" t="s">
        <v>1293</v>
      </c>
      <c r="E259" s="26" t="s">
        <v>1294</v>
      </c>
      <c r="F259" s="26" t="s">
        <v>1770</v>
      </c>
      <c r="G259" s="80">
        <v>0.16</v>
      </c>
    </row>
    <row r="260" spans="1:7" x14ac:dyDescent="0.25">
      <c r="A260" s="26" t="str">
        <f t="shared" si="7"/>
        <v>ROW28A_NEHST_BYERS</v>
      </c>
      <c r="B260" s="26" t="s">
        <v>1649</v>
      </c>
      <c r="C260" s="26" t="s">
        <v>1810</v>
      </c>
      <c r="D260" s="26" t="s">
        <v>1293</v>
      </c>
      <c r="E260" s="26" t="s">
        <v>1294</v>
      </c>
      <c r="F260" s="26" t="s">
        <v>1770</v>
      </c>
      <c r="G260" s="80">
        <v>9.6999999999999993</v>
      </c>
    </row>
    <row r="261" spans="1:7" x14ac:dyDescent="0.25">
      <c r="A261" s="26" t="str">
        <f t="shared" si="7"/>
        <v>ROW30A_NEHST_BYERS</v>
      </c>
      <c r="B261" s="26" t="s">
        <v>1652</v>
      </c>
      <c r="C261" s="26" t="s">
        <v>1810</v>
      </c>
      <c r="D261" s="26" t="s">
        <v>1293</v>
      </c>
      <c r="E261" s="26" t="s">
        <v>1294</v>
      </c>
      <c r="F261" s="26" t="s">
        <v>1770</v>
      </c>
      <c r="G261" s="80">
        <v>0.01</v>
      </c>
    </row>
    <row r="262" spans="1:7" x14ac:dyDescent="0.25">
      <c r="A262" s="26" t="str">
        <f t="shared" si="7"/>
        <v>ROW32A_NEHST_BYERS</v>
      </c>
      <c r="B262" s="26" t="s">
        <v>1655</v>
      </c>
      <c r="C262" s="26" t="s">
        <v>1810</v>
      </c>
      <c r="D262" s="26" t="s">
        <v>1293</v>
      </c>
      <c r="E262" s="26" t="s">
        <v>1294</v>
      </c>
      <c r="F262" s="26" t="s">
        <v>1770</v>
      </c>
      <c r="G262" s="80">
        <v>2</v>
      </c>
    </row>
    <row r="263" spans="1:7" x14ac:dyDescent="0.25">
      <c r="A263" s="26" t="str">
        <f t="shared" si="7"/>
        <v>LMD00A_NEHST_BYERS</v>
      </c>
      <c r="B263" s="26" t="s">
        <v>1657</v>
      </c>
      <c r="C263" s="26" t="s">
        <v>1810</v>
      </c>
      <c r="D263" s="26" t="s">
        <v>1293</v>
      </c>
      <c r="E263" s="26" t="s">
        <v>1294</v>
      </c>
      <c r="F263" s="26" t="s">
        <v>1770</v>
      </c>
      <c r="G263" s="80">
        <v>0.02</v>
      </c>
    </row>
    <row r="264" spans="1:7" x14ac:dyDescent="0.25">
      <c r="A264" s="26" t="str">
        <f t="shared" si="7"/>
        <v>LMD02A_NEHST_BYERS</v>
      </c>
      <c r="B264" s="26" t="s">
        <v>1660</v>
      </c>
      <c r="C264" s="26" t="s">
        <v>1810</v>
      </c>
      <c r="D264" s="26" t="s">
        <v>1293</v>
      </c>
      <c r="E264" s="26" t="s">
        <v>1294</v>
      </c>
      <c r="F264" s="26" t="s">
        <v>1770</v>
      </c>
      <c r="G264" s="80">
        <v>0.01</v>
      </c>
    </row>
    <row r="265" spans="1:7" x14ac:dyDescent="0.25">
      <c r="A265" s="26" t="str">
        <f t="shared" si="7"/>
        <v>LMD04A_NEHST_BYERS</v>
      </c>
      <c r="B265" s="26" t="s">
        <v>1662</v>
      </c>
      <c r="C265" s="26" t="s">
        <v>1810</v>
      </c>
      <c r="D265" s="26" t="s">
        <v>1293</v>
      </c>
      <c r="E265" s="26" t="s">
        <v>1294</v>
      </c>
      <c r="F265" s="26" t="s">
        <v>1770</v>
      </c>
      <c r="G265" s="80">
        <v>0.01</v>
      </c>
    </row>
    <row r="266" spans="1:7" x14ac:dyDescent="0.25">
      <c r="A266" s="26" t="str">
        <f t="shared" si="7"/>
        <v>LMD06A_NEHST_BYERS</v>
      </c>
      <c r="B266" s="26" t="s">
        <v>1664</v>
      </c>
      <c r="C266" s="26" t="s">
        <v>1810</v>
      </c>
      <c r="D266" s="26" t="s">
        <v>1293</v>
      </c>
      <c r="E266" s="26" t="s">
        <v>1294</v>
      </c>
      <c r="F266" s="26" t="s">
        <v>1770</v>
      </c>
      <c r="G266" s="80">
        <v>0.86</v>
      </c>
    </row>
    <row r="267" spans="1:7" x14ac:dyDescent="0.25">
      <c r="A267" s="26" t="str">
        <f t="shared" si="7"/>
        <v>LMD08A_NEHST_BYERS</v>
      </c>
      <c r="B267" s="26" t="s">
        <v>1667</v>
      </c>
      <c r="C267" s="26" t="s">
        <v>1810</v>
      </c>
      <c r="D267" s="26" t="s">
        <v>1293</v>
      </c>
      <c r="E267" s="26" t="s">
        <v>1294</v>
      </c>
      <c r="F267" s="26" t="s">
        <v>1770</v>
      </c>
      <c r="G267" s="80">
        <v>2.16</v>
      </c>
    </row>
    <row r="268" spans="1:7" x14ac:dyDescent="0.25">
      <c r="A268" s="26" t="str">
        <f t="shared" si="7"/>
        <v>LMD10A_NEHST_BYERS</v>
      </c>
      <c r="B268" s="26" t="s">
        <v>1670</v>
      </c>
      <c r="C268" s="26" t="s">
        <v>1810</v>
      </c>
      <c r="D268" s="26" t="s">
        <v>1293</v>
      </c>
      <c r="E268" s="26" t="s">
        <v>1294</v>
      </c>
      <c r="F268" s="26" t="s">
        <v>1770</v>
      </c>
      <c r="G268" s="80">
        <v>2.13</v>
      </c>
    </row>
    <row r="269" spans="1:7" x14ac:dyDescent="0.25">
      <c r="A269" s="26" t="str">
        <f t="shared" si="7"/>
        <v>LMD12A_NEHST_BYERS</v>
      </c>
      <c r="B269" s="26" t="s">
        <v>1672</v>
      </c>
      <c r="C269" s="26" t="s">
        <v>1810</v>
      </c>
      <c r="D269" s="26" t="s">
        <v>1293</v>
      </c>
      <c r="E269" s="26" t="s">
        <v>1294</v>
      </c>
      <c r="F269" s="26" t="s">
        <v>1770</v>
      </c>
      <c r="G269" s="80">
        <v>2.81</v>
      </c>
    </row>
    <row r="270" spans="1:7" x14ac:dyDescent="0.25">
      <c r="A270" s="26" t="str">
        <f t="shared" si="7"/>
        <v>LMD14A_NEHST_BYERS</v>
      </c>
      <c r="B270" s="26" t="s">
        <v>1674</v>
      </c>
      <c r="C270" s="26" t="s">
        <v>1810</v>
      </c>
      <c r="D270" s="26" t="s">
        <v>1293</v>
      </c>
      <c r="E270" s="26" t="s">
        <v>1294</v>
      </c>
      <c r="F270" s="26" t="s">
        <v>1770</v>
      </c>
      <c r="G270" s="80">
        <v>0.53</v>
      </c>
    </row>
    <row r="271" spans="1:7" x14ac:dyDescent="0.25">
      <c r="A271" s="26" t="str">
        <f t="shared" si="7"/>
        <v>MSC00A_NEHST_BYERS</v>
      </c>
      <c r="B271" s="26" t="s">
        <v>1676</v>
      </c>
      <c r="C271" s="26" t="s">
        <v>1810</v>
      </c>
      <c r="D271" s="26" t="s">
        <v>1293</v>
      </c>
      <c r="E271" s="26" t="s">
        <v>1294</v>
      </c>
      <c r="F271" s="26" t="s">
        <v>1770</v>
      </c>
      <c r="G271" s="80">
        <v>0.01</v>
      </c>
    </row>
    <row r="272" spans="1:7" x14ac:dyDescent="0.25">
      <c r="A272" s="26" t="str">
        <f t="shared" si="7"/>
        <v>MSC02A_NEHST_BYERS</v>
      </c>
      <c r="B272" s="26" t="s">
        <v>1678</v>
      </c>
      <c r="C272" s="26" t="s">
        <v>1810</v>
      </c>
      <c r="D272" s="26" t="s">
        <v>1293</v>
      </c>
      <c r="E272" s="26" t="s">
        <v>1294</v>
      </c>
      <c r="F272" s="26" t="s">
        <v>1770</v>
      </c>
      <c r="G272" s="80">
        <v>0.01</v>
      </c>
    </row>
    <row r="273" spans="1:7" x14ac:dyDescent="0.25">
      <c r="A273" s="26" t="str">
        <f t="shared" si="7"/>
        <v>HLB00A_NEHST_BYERS</v>
      </c>
      <c r="B273" s="26" t="s">
        <v>1680</v>
      </c>
      <c r="C273" s="26" t="s">
        <v>1810</v>
      </c>
      <c r="D273" s="26" t="s">
        <v>1293</v>
      </c>
      <c r="E273" s="26" t="s">
        <v>1294</v>
      </c>
      <c r="F273" s="26" t="s">
        <v>1770</v>
      </c>
      <c r="G273" s="80">
        <v>0.52</v>
      </c>
    </row>
    <row r="274" spans="1:7" x14ac:dyDescent="0.25">
      <c r="A274" s="26" t="str">
        <f t="shared" si="7"/>
        <v>HLB02A_NEHST_BYERS</v>
      </c>
      <c r="B274" s="26" t="s">
        <v>1685</v>
      </c>
      <c r="C274" s="26" t="s">
        <v>1810</v>
      </c>
      <c r="D274" s="26" t="s">
        <v>1293</v>
      </c>
      <c r="E274" s="26" t="s">
        <v>1294</v>
      </c>
      <c r="F274" s="26" t="s">
        <v>1770</v>
      </c>
      <c r="G274" s="80">
        <v>0.46</v>
      </c>
    </row>
    <row r="275" spans="1:7" x14ac:dyDescent="0.25">
      <c r="A275" s="26" t="str">
        <f t="shared" si="7"/>
        <v>HLB04A_NEHST_BYERS</v>
      </c>
      <c r="B275" s="26" t="s">
        <v>1689</v>
      </c>
      <c r="C275" s="26" t="s">
        <v>1810</v>
      </c>
      <c r="D275" s="26" t="s">
        <v>1293</v>
      </c>
      <c r="E275" s="26" t="s">
        <v>1294</v>
      </c>
      <c r="F275" s="26" t="s">
        <v>1770</v>
      </c>
      <c r="G275" s="80">
        <v>0.32</v>
      </c>
    </row>
    <row r="276" spans="1:7" x14ac:dyDescent="0.25">
      <c r="A276" s="26" t="str">
        <f t="shared" si="7"/>
        <v>HLB06A_NEHST_BYERS</v>
      </c>
      <c r="B276" s="26" t="s">
        <v>1693</v>
      </c>
      <c r="C276" s="26" t="s">
        <v>1810</v>
      </c>
      <c r="D276" s="26" t="s">
        <v>1293</v>
      </c>
      <c r="E276" s="26" t="s">
        <v>1294</v>
      </c>
      <c r="F276" s="26" t="s">
        <v>1770</v>
      </c>
      <c r="G276" s="80">
        <v>1.08</v>
      </c>
    </row>
    <row r="277" spans="1:7" x14ac:dyDescent="0.25">
      <c r="A277" s="26" t="str">
        <f t="shared" si="7"/>
        <v>HLB08A_NEHST_BYERS</v>
      </c>
      <c r="B277" s="26" t="s">
        <v>1697</v>
      </c>
      <c r="C277" s="26" t="s">
        <v>1810</v>
      </c>
      <c r="D277" s="26" t="s">
        <v>1293</v>
      </c>
      <c r="E277" s="26" t="s">
        <v>1294</v>
      </c>
      <c r="F277" s="26" t="s">
        <v>1770</v>
      </c>
      <c r="G277" s="80">
        <v>1.18</v>
      </c>
    </row>
    <row r="278" spans="1:7" x14ac:dyDescent="0.25">
      <c r="A278" s="26" t="str">
        <f t="shared" si="7"/>
        <v>HLB12A_NEHST_BYERS</v>
      </c>
      <c r="B278" s="26" t="s">
        <v>1701</v>
      </c>
      <c r="C278" s="26" t="s">
        <v>1810</v>
      </c>
      <c r="D278" s="26" t="s">
        <v>1293</v>
      </c>
      <c r="E278" s="26" t="s">
        <v>1294</v>
      </c>
      <c r="F278" s="26" t="s">
        <v>1770</v>
      </c>
      <c r="G278" s="80">
        <v>0.4</v>
      </c>
    </row>
    <row r="279" spans="1:7" x14ac:dyDescent="0.25">
      <c r="A279" s="26" t="str">
        <f t="shared" si="7"/>
        <v>HLB14A_NEHST_BYERS</v>
      </c>
      <c r="B279" s="26" t="s">
        <v>1705</v>
      </c>
      <c r="C279" s="26" t="s">
        <v>1810</v>
      </c>
      <c r="D279" s="26" t="s">
        <v>1293</v>
      </c>
      <c r="E279" s="26" t="s">
        <v>1294</v>
      </c>
      <c r="F279" s="26" t="s">
        <v>1770</v>
      </c>
      <c r="G279" s="80">
        <v>1.18</v>
      </c>
    </row>
    <row r="280" spans="1:7" x14ac:dyDescent="0.25">
      <c r="A280" s="26" t="str">
        <f t="shared" si="7"/>
        <v>HLB16A_NEHST_BYERS</v>
      </c>
      <c r="B280" s="26" t="s">
        <v>1709</v>
      </c>
      <c r="C280" s="26" t="s">
        <v>1810</v>
      </c>
      <c r="D280" s="26" t="s">
        <v>1293</v>
      </c>
      <c r="E280" s="26" t="s">
        <v>1294</v>
      </c>
      <c r="F280" s="26" t="s">
        <v>1770</v>
      </c>
      <c r="G280" s="80">
        <v>1.63</v>
      </c>
    </row>
    <row r="281" spans="1:7" x14ac:dyDescent="0.25">
      <c r="A281" s="26" t="str">
        <f t="shared" si="7"/>
        <v>HLB18A_NEHST_BYERS</v>
      </c>
      <c r="B281" s="26" t="s">
        <v>1713</v>
      </c>
      <c r="C281" s="26" t="s">
        <v>1810</v>
      </c>
      <c r="D281" s="26" t="s">
        <v>1293</v>
      </c>
      <c r="E281" s="26" t="s">
        <v>1294</v>
      </c>
      <c r="F281" s="26" t="s">
        <v>1770</v>
      </c>
      <c r="G281" s="80">
        <v>1.28</v>
      </c>
    </row>
    <row r="282" spans="1:7" x14ac:dyDescent="0.25">
      <c r="A282" s="26" t="str">
        <f t="shared" si="7"/>
        <v>ESU00A_SWHST_BYERS</v>
      </c>
      <c r="B282" s="26" t="s">
        <v>1378</v>
      </c>
      <c r="C282" s="26" t="s">
        <v>1812</v>
      </c>
      <c r="D282" s="26" t="s">
        <v>1293</v>
      </c>
      <c r="E282" s="26" t="s">
        <v>1294</v>
      </c>
      <c r="F282" s="26" t="s">
        <v>1770</v>
      </c>
      <c r="G282" s="80">
        <v>486</v>
      </c>
    </row>
    <row r="283" spans="1:7" x14ac:dyDescent="0.25">
      <c r="A283" s="26" t="str">
        <f t="shared" si="7"/>
        <v>ERE00A_SWHST_BYERS</v>
      </c>
      <c r="B283" s="26" t="s">
        <v>1381</v>
      </c>
      <c r="C283" s="26" t="s">
        <v>1812</v>
      </c>
      <c r="D283" s="26" t="s">
        <v>1293</v>
      </c>
      <c r="E283" s="26" t="s">
        <v>1294</v>
      </c>
      <c r="F283" s="26" t="s">
        <v>1770</v>
      </c>
      <c r="G283" s="80">
        <v>75.599999999999994</v>
      </c>
    </row>
    <row r="284" spans="1:7" x14ac:dyDescent="0.25">
      <c r="A284" s="26" t="str">
        <f t="shared" si="7"/>
        <v>ACE00A_SWHST_BYERS</v>
      </c>
      <c r="B284" s="26" t="s">
        <v>1384</v>
      </c>
      <c r="C284" s="26" t="s">
        <v>1812</v>
      </c>
      <c r="D284" s="26" t="s">
        <v>1293</v>
      </c>
      <c r="E284" s="26" t="s">
        <v>1294</v>
      </c>
      <c r="F284" s="26" t="s">
        <v>1770</v>
      </c>
      <c r="G284" s="79" t="s">
        <v>1805</v>
      </c>
    </row>
    <row r="285" spans="1:7" x14ac:dyDescent="0.25">
      <c r="A285" s="26" t="str">
        <f t="shared" si="7"/>
        <v>ACE02A_SWHST_BYERS</v>
      </c>
      <c r="B285" s="26" t="s">
        <v>1387</v>
      </c>
      <c r="C285" s="26" t="s">
        <v>1812</v>
      </c>
      <c r="D285" s="26" t="s">
        <v>1293</v>
      </c>
      <c r="E285" s="26" t="s">
        <v>1294</v>
      </c>
      <c r="F285" s="26" t="s">
        <v>1770</v>
      </c>
      <c r="G285" s="79" t="s">
        <v>1805</v>
      </c>
    </row>
    <row r="286" spans="1:7" x14ac:dyDescent="0.25">
      <c r="A286" s="26" t="str">
        <f t="shared" si="7"/>
        <v>ACE04A_SWHST_BYERS</v>
      </c>
      <c r="B286" s="26" t="s">
        <v>1390</v>
      </c>
      <c r="C286" s="26" t="s">
        <v>1812</v>
      </c>
      <c r="D286" s="26" t="s">
        <v>1293</v>
      </c>
      <c r="E286" s="26" t="s">
        <v>1294</v>
      </c>
      <c r="F286" s="26" t="s">
        <v>1770</v>
      </c>
      <c r="G286" s="79" t="s">
        <v>1805</v>
      </c>
    </row>
    <row r="287" spans="1:7" x14ac:dyDescent="0.25">
      <c r="A287" s="26" t="str">
        <f t="shared" si="7"/>
        <v>ACA00A_SWHST_BYERS</v>
      </c>
      <c r="B287" s="26" t="s">
        <v>1392</v>
      </c>
      <c r="C287" s="26" t="s">
        <v>1812</v>
      </c>
      <c r="D287" s="26" t="s">
        <v>1293</v>
      </c>
      <c r="E287" s="26" t="s">
        <v>1294</v>
      </c>
      <c r="F287" s="26" t="s">
        <v>1770</v>
      </c>
      <c r="G287" s="80">
        <v>0.28000000000000003</v>
      </c>
    </row>
    <row r="288" spans="1:7" x14ac:dyDescent="0.25">
      <c r="A288" s="26" t="str">
        <f t="shared" si="7"/>
        <v>ACA02A_SWHST_BYERS</v>
      </c>
      <c r="B288" s="26" t="s">
        <v>1395</v>
      </c>
      <c r="C288" s="26" t="s">
        <v>1812</v>
      </c>
      <c r="D288" s="26" t="s">
        <v>1293</v>
      </c>
      <c r="E288" s="26" t="s">
        <v>1294</v>
      </c>
      <c r="F288" s="26" t="s">
        <v>1770</v>
      </c>
      <c r="G288" s="80">
        <v>0.24</v>
      </c>
    </row>
    <row r="289" spans="1:7" x14ac:dyDescent="0.25">
      <c r="A289" s="26" t="str">
        <f t="shared" si="7"/>
        <v>ACA04A_SWHST_BYERS</v>
      </c>
      <c r="B289" s="26" t="s">
        <v>1397</v>
      </c>
      <c r="C289" s="26" t="s">
        <v>1812</v>
      </c>
      <c r="D289" s="26" t="s">
        <v>1293</v>
      </c>
      <c r="E289" s="26" t="s">
        <v>1294</v>
      </c>
      <c r="F289" s="26" t="s">
        <v>1770</v>
      </c>
      <c r="G289" s="80">
        <v>0.15</v>
      </c>
    </row>
    <row r="290" spans="1:7" x14ac:dyDescent="0.25">
      <c r="A290" s="26" t="str">
        <f t="shared" si="7"/>
        <v>ACA06A_SWHST_BYERS</v>
      </c>
      <c r="B290" s="26" t="s">
        <v>1399</v>
      </c>
      <c r="C290" s="26" t="s">
        <v>1812</v>
      </c>
      <c r="D290" s="26" t="s">
        <v>1293</v>
      </c>
      <c r="E290" s="26" t="s">
        <v>1294</v>
      </c>
      <c r="F290" s="26" t="s">
        <v>1770</v>
      </c>
      <c r="G290" s="80">
        <v>0.13</v>
      </c>
    </row>
    <row r="291" spans="1:7" x14ac:dyDescent="0.25">
      <c r="A291" s="26" t="str">
        <f t="shared" si="7"/>
        <v>ACA08A_SWHST_BYERS</v>
      </c>
      <c r="B291" s="26" t="s">
        <v>1401</v>
      </c>
      <c r="C291" s="26" t="s">
        <v>1812</v>
      </c>
      <c r="D291" s="26" t="s">
        <v>1293</v>
      </c>
      <c r="E291" s="26" t="s">
        <v>1294</v>
      </c>
      <c r="F291" s="26" t="s">
        <v>1770</v>
      </c>
      <c r="G291" s="80">
        <v>0.19</v>
      </c>
    </row>
    <row r="292" spans="1:7" x14ac:dyDescent="0.25">
      <c r="A292" s="26" t="str">
        <f t="shared" si="7"/>
        <v>ACA10A_SWHST_BYERS</v>
      </c>
      <c r="B292" s="26" t="s">
        <v>1403</v>
      </c>
      <c r="C292" s="26" t="s">
        <v>1812</v>
      </c>
      <c r="D292" s="26" t="s">
        <v>1293</v>
      </c>
      <c r="E292" s="26" t="s">
        <v>1294</v>
      </c>
      <c r="F292" s="26" t="s">
        <v>1770</v>
      </c>
      <c r="G292" s="80">
        <v>0.41</v>
      </c>
    </row>
    <row r="293" spans="1:7" x14ac:dyDescent="0.25">
      <c r="A293" s="26" t="str">
        <f t="shared" si="7"/>
        <v>ACA12A_SWHST_BYERS</v>
      </c>
      <c r="B293" s="26" t="s">
        <v>1404</v>
      </c>
      <c r="C293" s="26" t="s">
        <v>1812</v>
      </c>
      <c r="D293" s="26" t="s">
        <v>1293</v>
      </c>
      <c r="E293" s="26" t="s">
        <v>1294</v>
      </c>
      <c r="F293" s="26" t="s">
        <v>1770</v>
      </c>
      <c r="G293" s="80">
        <v>0.37</v>
      </c>
    </row>
    <row r="294" spans="1:7" x14ac:dyDescent="0.25">
      <c r="A294" s="26" t="str">
        <f t="shared" si="7"/>
        <v>ACA14A_SWHST_BYERS</v>
      </c>
      <c r="B294" s="26" t="s">
        <v>1776</v>
      </c>
      <c r="C294" s="26" t="s">
        <v>1812</v>
      </c>
      <c r="D294" s="26" t="s">
        <v>1293</v>
      </c>
      <c r="E294" s="26" t="s">
        <v>1294</v>
      </c>
      <c r="F294" s="26" t="s">
        <v>1770</v>
      </c>
      <c r="G294" s="80">
        <v>19.670000000000002</v>
      </c>
    </row>
    <row r="295" spans="1:7" x14ac:dyDescent="0.25">
      <c r="A295" s="26" t="str">
        <f t="shared" si="7"/>
        <v>ACA16A_SWHST_BYERS</v>
      </c>
      <c r="B295" s="26" t="s">
        <v>1777</v>
      </c>
      <c r="C295" s="26" t="s">
        <v>1812</v>
      </c>
      <c r="D295" s="26" t="s">
        <v>1293</v>
      </c>
      <c r="E295" s="26" t="s">
        <v>1294</v>
      </c>
      <c r="F295" s="26" t="s">
        <v>1770</v>
      </c>
      <c r="G295" s="80">
        <v>7.87</v>
      </c>
    </row>
    <row r="296" spans="1:7" x14ac:dyDescent="0.25">
      <c r="A296" s="26" t="str">
        <f t="shared" si="7"/>
        <v>AMH00A_SWHST_BYERS</v>
      </c>
      <c r="B296" s="26" t="s">
        <v>1405</v>
      </c>
      <c r="C296" s="26" t="s">
        <v>1812</v>
      </c>
      <c r="D296" s="26" t="s">
        <v>1293</v>
      </c>
      <c r="E296" s="26" t="s">
        <v>1294</v>
      </c>
      <c r="F296" s="26" t="s">
        <v>1770</v>
      </c>
      <c r="G296" s="80">
        <v>183.02</v>
      </c>
    </row>
    <row r="297" spans="1:7" x14ac:dyDescent="0.25">
      <c r="A297" s="26" t="str">
        <f t="shared" si="7"/>
        <v>AMH02A_SWHST_BYERS</v>
      </c>
      <c r="B297" s="26" t="s">
        <v>1408</v>
      </c>
      <c r="C297" s="26" t="s">
        <v>1812</v>
      </c>
      <c r="D297" s="26" t="s">
        <v>1293</v>
      </c>
      <c r="E297" s="26" t="s">
        <v>1294</v>
      </c>
      <c r="F297" s="26" t="s">
        <v>1770</v>
      </c>
      <c r="G297" s="80">
        <v>338.44</v>
      </c>
    </row>
    <row r="298" spans="1:7" x14ac:dyDescent="0.25">
      <c r="A298" s="26" t="str">
        <f t="shared" si="7"/>
        <v>AMH04A_SWHST_BYERS</v>
      </c>
      <c r="B298" s="26" t="s">
        <v>1410</v>
      </c>
      <c r="C298" s="26" t="s">
        <v>1812</v>
      </c>
      <c r="D298" s="26" t="s">
        <v>1293</v>
      </c>
      <c r="E298" s="26" t="s">
        <v>1294</v>
      </c>
      <c r="F298" s="26" t="s">
        <v>1770</v>
      </c>
      <c r="G298" s="80">
        <v>0.39</v>
      </c>
    </row>
    <row r="299" spans="1:7" x14ac:dyDescent="0.25">
      <c r="A299" s="26" t="str">
        <f t="shared" si="7"/>
        <v>AMH06A_SWHST_BYERS</v>
      </c>
      <c r="B299" s="26" t="s">
        <v>1413</v>
      </c>
      <c r="C299" s="26" t="s">
        <v>1812</v>
      </c>
      <c r="D299" s="26" t="s">
        <v>1293</v>
      </c>
      <c r="E299" s="26" t="s">
        <v>1294</v>
      </c>
      <c r="F299" s="26" t="s">
        <v>1770</v>
      </c>
      <c r="G299" s="80">
        <v>0.21</v>
      </c>
    </row>
    <row r="300" spans="1:7" x14ac:dyDescent="0.25">
      <c r="A300" s="26" t="str">
        <f t="shared" si="7"/>
        <v>AMH08A_SWHST_BYERS</v>
      </c>
      <c r="B300" s="26" t="s">
        <v>1416</v>
      </c>
      <c r="C300" s="26" t="s">
        <v>1812</v>
      </c>
      <c r="D300" s="26" t="s">
        <v>1293</v>
      </c>
      <c r="E300" s="26" t="s">
        <v>1294</v>
      </c>
      <c r="F300" s="26" t="s">
        <v>1770</v>
      </c>
      <c r="G300" s="80">
        <v>0.79</v>
      </c>
    </row>
    <row r="301" spans="1:7" x14ac:dyDescent="0.25">
      <c r="A301" s="26" t="str">
        <f t="shared" si="7"/>
        <v>AMH10A_SWHST_BYERS</v>
      </c>
      <c r="B301" s="26" t="s">
        <v>1419</v>
      </c>
      <c r="C301" s="26" t="s">
        <v>1812</v>
      </c>
      <c r="D301" s="26" t="s">
        <v>1293</v>
      </c>
      <c r="E301" s="26" t="s">
        <v>1294</v>
      </c>
      <c r="F301" s="26" t="s">
        <v>1770</v>
      </c>
      <c r="G301" s="80">
        <v>0.18</v>
      </c>
    </row>
    <row r="302" spans="1:7" x14ac:dyDescent="0.25">
      <c r="A302" s="26" t="str">
        <f t="shared" si="7"/>
        <v>AMH12A_SWHST_BYERS</v>
      </c>
      <c r="B302" s="26" t="s">
        <v>1421</v>
      </c>
      <c r="C302" s="26" t="s">
        <v>1812</v>
      </c>
      <c r="D302" s="26" t="s">
        <v>1293</v>
      </c>
      <c r="E302" s="26" t="s">
        <v>1294</v>
      </c>
      <c r="F302" s="26" t="s">
        <v>1770</v>
      </c>
      <c r="G302" s="80">
        <v>909.47</v>
      </c>
    </row>
    <row r="303" spans="1:7" x14ac:dyDescent="0.25">
      <c r="A303" s="26" t="str">
        <f t="shared" si="7"/>
        <v>AMH14A_SWHST_BYERS</v>
      </c>
      <c r="B303" s="26" t="s">
        <v>1424</v>
      </c>
      <c r="C303" s="26" t="s">
        <v>1812</v>
      </c>
      <c r="D303" s="26" t="s">
        <v>1293</v>
      </c>
      <c r="E303" s="26" t="s">
        <v>1294</v>
      </c>
      <c r="F303" s="26" t="s">
        <v>1770</v>
      </c>
      <c r="G303" s="80">
        <v>296.45999999999998</v>
      </c>
    </row>
    <row r="304" spans="1:7" x14ac:dyDescent="0.25">
      <c r="A304" s="26" t="str">
        <f t="shared" si="7"/>
        <v>AMH16A_SWHST_BYERS</v>
      </c>
      <c r="B304" s="26" t="s">
        <v>1426</v>
      </c>
      <c r="C304" s="26" t="s">
        <v>1812</v>
      </c>
      <c r="D304" s="26" t="s">
        <v>1293</v>
      </c>
      <c r="E304" s="26" t="s">
        <v>1294</v>
      </c>
      <c r="F304" s="26" t="s">
        <v>1770</v>
      </c>
      <c r="G304" s="80">
        <v>60.61</v>
      </c>
    </row>
    <row r="305" spans="1:7" x14ac:dyDescent="0.25">
      <c r="A305" s="26" t="str">
        <f t="shared" si="7"/>
        <v>APO00A_SWHST_BYERS</v>
      </c>
      <c r="B305" s="26" t="s">
        <v>1428</v>
      </c>
      <c r="C305" s="26" t="s">
        <v>1812</v>
      </c>
      <c r="D305" s="26" t="s">
        <v>1293</v>
      </c>
      <c r="E305" s="26" t="s">
        <v>1294</v>
      </c>
      <c r="F305" s="26" t="s">
        <v>1770</v>
      </c>
      <c r="G305" s="80">
        <v>64.41</v>
      </c>
    </row>
    <row r="306" spans="1:7" x14ac:dyDescent="0.25">
      <c r="A306" s="26" t="str">
        <f t="shared" si="7"/>
        <v>APO02A_SWHST_BYERS</v>
      </c>
      <c r="B306" s="26" t="s">
        <v>1430</v>
      </c>
      <c r="C306" s="26" t="s">
        <v>1812</v>
      </c>
      <c r="D306" s="26" t="s">
        <v>1293</v>
      </c>
      <c r="E306" s="26" t="s">
        <v>1294</v>
      </c>
      <c r="F306" s="26" t="s">
        <v>1770</v>
      </c>
      <c r="G306" s="80">
        <v>3.29</v>
      </c>
    </row>
    <row r="307" spans="1:7" x14ac:dyDescent="0.25">
      <c r="A307" s="26" t="str">
        <f t="shared" si="7"/>
        <v>ARD00A_SWHST_BYERS</v>
      </c>
      <c r="B307" s="26" t="s">
        <v>1432</v>
      </c>
      <c r="C307" s="26" t="s">
        <v>1812</v>
      </c>
      <c r="D307" s="26" t="s">
        <v>1293</v>
      </c>
      <c r="E307" s="26" t="s">
        <v>1294</v>
      </c>
      <c r="F307" s="26" t="s">
        <v>1770</v>
      </c>
      <c r="G307" s="80">
        <v>0.11</v>
      </c>
    </row>
    <row r="308" spans="1:7" x14ac:dyDescent="0.25">
      <c r="A308" s="26" t="str">
        <f t="shared" si="7"/>
        <v>ARD02A_SWHST_BYERS</v>
      </c>
      <c r="B308" s="26" t="s">
        <v>1435</v>
      </c>
      <c r="C308" s="26" t="s">
        <v>1812</v>
      </c>
      <c r="D308" s="26" t="s">
        <v>1293</v>
      </c>
      <c r="E308" s="26" t="s">
        <v>1294</v>
      </c>
      <c r="F308" s="26" t="s">
        <v>1770</v>
      </c>
      <c r="G308" s="80">
        <v>294.57</v>
      </c>
    </row>
    <row r="309" spans="1:7" x14ac:dyDescent="0.25">
      <c r="A309" s="26" t="str">
        <f t="shared" si="7"/>
        <v>ASA00A_SWHST_BYERS</v>
      </c>
      <c r="B309" s="26" t="s">
        <v>1438</v>
      </c>
      <c r="C309" s="26" t="s">
        <v>1812</v>
      </c>
      <c r="D309" s="26" t="s">
        <v>1293</v>
      </c>
      <c r="E309" s="26" t="s">
        <v>1294</v>
      </c>
      <c r="F309" s="26" t="s">
        <v>1770</v>
      </c>
      <c r="G309" s="80">
        <v>263.52</v>
      </c>
    </row>
    <row r="310" spans="1:7" x14ac:dyDescent="0.25">
      <c r="A310" s="26" t="str">
        <f t="shared" si="7"/>
        <v>ASA02A_SWHST_BYERS</v>
      </c>
      <c r="B310" s="26" t="s">
        <v>1441</v>
      </c>
      <c r="C310" s="26" t="s">
        <v>1812</v>
      </c>
      <c r="D310" s="26" t="s">
        <v>1293</v>
      </c>
      <c r="E310" s="26" t="s">
        <v>1294</v>
      </c>
      <c r="F310" s="26" t="s">
        <v>1770</v>
      </c>
      <c r="G310" s="80">
        <v>197.64</v>
      </c>
    </row>
    <row r="311" spans="1:7" x14ac:dyDescent="0.25">
      <c r="A311" s="26" t="str">
        <f t="shared" si="7"/>
        <v>ASA04A_SWHST_BYERS</v>
      </c>
      <c r="B311" s="26" t="s">
        <v>1783</v>
      </c>
      <c r="C311" s="26" t="s">
        <v>1812</v>
      </c>
      <c r="D311" s="26" t="s">
        <v>1293</v>
      </c>
      <c r="E311" s="26" t="s">
        <v>1294</v>
      </c>
      <c r="F311" s="26" t="s">
        <v>1770</v>
      </c>
      <c r="G311" s="80">
        <v>197.64</v>
      </c>
    </row>
    <row r="312" spans="1:7" x14ac:dyDescent="0.25">
      <c r="A312" s="26" t="str">
        <f t="shared" si="7"/>
        <v>ASP00A_SWHST_BYERS</v>
      </c>
      <c r="B312" s="26" t="s">
        <v>1443</v>
      </c>
      <c r="C312" s="26" t="s">
        <v>1812</v>
      </c>
      <c r="D312" s="26" t="s">
        <v>1293</v>
      </c>
      <c r="E312" s="26" t="s">
        <v>1294</v>
      </c>
      <c r="F312" s="26" t="s">
        <v>1770</v>
      </c>
      <c r="G312" s="80">
        <v>49.41</v>
      </c>
    </row>
    <row r="313" spans="1:7" x14ac:dyDescent="0.25">
      <c r="A313" s="26" t="str">
        <f t="shared" si="7"/>
        <v>ASU00A_SWHST_BYERS</v>
      </c>
      <c r="B313" s="26" t="s">
        <v>1445</v>
      </c>
      <c r="C313" s="26" t="s">
        <v>1812</v>
      </c>
      <c r="D313" s="26" t="s">
        <v>1293</v>
      </c>
      <c r="E313" s="26" t="s">
        <v>1294</v>
      </c>
      <c r="F313" s="26" t="s">
        <v>1770</v>
      </c>
      <c r="G313" s="80">
        <v>23.06</v>
      </c>
    </row>
    <row r="314" spans="1:7" x14ac:dyDescent="0.25">
      <c r="A314" s="26" t="str">
        <f t="shared" si="7"/>
        <v>ASU02A_SWHST_BYERS</v>
      </c>
      <c r="B314" s="26" t="s">
        <v>1448</v>
      </c>
      <c r="C314" s="26" t="s">
        <v>1812</v>
      </c>
      <c r="D314" s="26" t="s">
        <v>1293</v>
      </c>
      <c r="E314" s="26" t="s">
        <v>1294</v>
      </c>
      <c r="F314" s="26" t="s">
        <v>1770</v>
      </c>
      <c r="G314" s="80">
        <v>98.82</v>
      </c>
    </row>
    <row r="315" spans="1:7" x14ac:dyDescent="0.25">
      <c r="A315" s="26" t="str">
        <f t="shared" si="7"/>
        <v>ATE00A_SWHST_BYERS</v>
      </c>
      <c r="B315" s="26" t="s">
        <v>1451</v>
      </c>
      <c r="C315" s="26" t="s">
        <v>1812</v>
      </c>
      <c r="D315" s="26" t="s">
        <v>1293</v>
      </c>
      <c r="E315" s="26" t="s">
        <v>1294</v>
      </c>
      <c r="F315" s="26" t="s">
        <v>1770</v>
      </c>
      <c r="G315" s="80">
        <v>47.12</v>
      </c>
    </row>
    <row r="316" spans="1:7" x14ac:dyDescent="0.25">
      <c r="A316" s="26" t="str">
        <f t="shared" si="7"/>
        <v>ADL00A_SWHST_BYERS</v>
      </c>
      <c r="B316" s="26" t="s">
        <v>1454</v>
      </c>
      <c r="C316" s="26" t="s">
        <v>1812</v>
      </c>
      <c r="D316" s="26" t="s">
        <v>1293</v>
      </c>
      <c r="E316" s="26" t="s">
        <v>1294</v>
      </c>
      <c r="F316" s="26" t="s">
        <v>1770</v>
      </c>
      <c r="G316" s="80">
        <v>572.5</v>
      </c>
    </row>
    <row r="317" spans="1:7" x14ac:dyDescent="0.25">
      <c r="A317" s="26" t="str">
        <f t="shared" si="7"/>
        <v>ADL02A_SWHST_BYERS</v>
      </c>
      <c r="B317" s="26" t="s">
        <v>1457</v>
      </c>
      <c r="C317" s="26" t="s">
        <v>1812</v>
      </c>
      <c r="D317" s="26" t="s">
        <v>1293</v>
      </c>
      <c r="E317" s="26" t="s">
        <v>1294</v>
      </c>
      <c r="F317" s="26" t="s">
        <v>1770</v>
      </c>
      <c r="G317" s="80">
        <v>189.08</v>
      </c>
    </row>
    <row r="318" spans="1:7" x14ac:dyDescent="0.25">
      <c r="A318" s="26" t="str">
        <f t="shared" si="7"/>
        <v>ADL04A_SWHST_BYERS</v>
      </c>
      <c r="B318" s="26" t="s">
        <v>1459</v>
      </c>
      <c r="C318" s="26" t="s">
        <v>1812</v>
      </c>
      <c r="D318" s="26" t="s">
        <v>1293</v>
      </c>
      <c r="E318" s="26" t="s">
        <v>1294</v>
      </c>
      <c r="F318" s="26" t="s">
        <v>1770</v>
      </c>
      <c r="G318" s="80">
        <v>112</v>
      </c>
    </row>
    <row r="319" spans="1:7" x14ac:dyDescent="0.25">
      <c r="A319" s="26" t="str">
        <f t="shared" si="7"/>
        <v>ADL06A_SWHST_BYERS</v>
      </c>
      <c r="B319" s="26" t="s">
        <v>1461</v>
      </c>
      <c r="C319" s="26" t="s">
        <v>1812</v>
      </c>
      <c r="D319" s="26" t="s">
        <v>1293</v>
      </c>
      <c r="E319" s="26" t="s">
        <v>1294</v>
      </c>
      <c r="F319" s="26" t="s">
        <v>1770</v>
      </c>
      <c r="G319" s="80">
        <v>55.21</v>
      </c>
    </row>
    <row r="320" spans="1:7" x14ac:dyDescent="0.25">
      <c r="A320" s="26" t="str">
        <f t="shared" si="7"/>
        <v>ICP00A_SWHST_BYERS</v>
      </c>
      <c r="B320" s="26" t="s">
        <v>1463</v>
      </c>
      <c r="C320" s="26" t="s">
        <v>1812</v>
      </c>
      <c r="D320" s="26" t="s">
        <v>1293</v>
      </c>
      <c r="E320" s="26" t="s">
        <v>1294</v>
      </c>
      <c r="F320" s="26" t="s">
        <v>1770</v>
      </c>
      <c r="G320" s="80">
        <v>226.8</v>
      </c>
    </row>
    <row r="321" spans="1:7" x14ac:dyDescent="0.25">
      <c r="A321" s="26" t="str">
        <f t="shared" si="7"/>
        <v>ICP02A_SWHST_BYERS</v>
      </c>
      <c r="B321" s="26" t="s">
        <v>1465</v>
      </c>
      <c r="C321" s="26" t="s">
        <v>1812</v>
      </c>
      <c r="D321" s="26" t="s">
        <v>1293</v>
      </c>
      <c r="E321" s="26" t="s">
        <v>1294</v>
      </c>
      <c r="F321" s="26" t="s">
        <v>1770</v>
      </c>
      <c r="G321" s="80">
        <v>54.43</v>
      </c>
    </row>
    <row r="322" spans="1:7" x14ac:dyDescent="0.25">
      <c r="A322" s="26" t="str">
        <f t="shared" si="7"/>
        <v>ICP04A_SWHST_BYERS</v>
      </c>
      <c r="B322" s="26" t="s">
        <v>1467</v>
      </c>
      <c r="C322" s="26" t="s">
        <v>1812</v>
      </c>
      <c r="D322" s="26" t="s">
        <v>1293</v>
      </c>
      <c r="E322" s="26" t="s">
        <v>1294</v>
      </c>
      <c r="F322" s="26" t="s">
        <v>1770</v>
      </c>
      <c r="G322" s="80">
        <v>68.040000000000006</v>
      </c>
    </row>
    <row r="323" spans="1:7" x14ac:dyDescent="0.25">
      <c r="A323" s="26" t="str">
        <f t="shared" ref="A323:A386" si="8">B323&amp;"_"&amp;C323&amp;"_"&amp;E323</f>
        <v>ICP06A_SWHST_BYERS</v>
      </c>
      <c r="B323" s="26" t="s">
        <v>1469</v>
      </c>
      <c r="C323" s="26" t="s">
        <v>1812</v>
      </c>
      <c r="D323" s="26" t="s">
        <v>1293</v>
      </c>
      <c r="E323" s="26" t="s">
        <v>1294</v>
      </c>
      <c r="F323" s="26" t="s">
        <v>1770</v>
      </c>
      <c r="G323" s="80">
        <v>20.41</v>
      </c>
    </row>
    <row r="324" spans="1:7" x14ac:dyDescent="0.25">
      <c r="A324" s="26" t="str">
        <f t="shared" si="8"/>
        <v>ICP08A_SWHST_BYERS</v>
      </c>
      <c r="B324" s="26" t="s">
        <v>1784</v>
      </c>
      <c r="C324" s="26" t="s">
        <v>1812</v>
      </c>
      <c r="D324" s="26" t="s">
        <v>1293</v>
      </c>
      <c r="E324" s="26" t="s">
        <v>1294</v>
      </c>
      <c r="F324" s="26" t="s">
        <v>1770</v>
      </c>
      <c r="G324" s="80">
        <v>54.43</v>
      </c>
    </row>
    <row r="325" spans="1:7" x14ac:dyDescent="0.25">
      <c r="A325" s="26" t="str">
        <f t="shared" si="8"/>
        <v>ICP10A_SWHST_BYERS</v>
      </c>
      <c r="B325" s="26" t="s">
        <v>1785</v>
      </c>
      <c r="C325" s="26" t="s">
        <v>1812</v>
      </c>
      <c r="D325" s="26" t="s">
        <v>1293</v>
      </c>
      <c r="E325" s="26" t="s">
        <v>1294</v>
      </c>
      <c r="F325" s="26" t="s">
        <v>1770</v>
      </c>
      <c r="G325" s="80">
        <v>158.76</v>
      </c>
    </row>
    <row r="326" spans="1:7" x14ac:dyDescent="0.25">
      <c r="A326" s="26" t="str">
        <f t="shared" si="8"/>
        <v>ICP12A_SWHST_BYERS</v>
      </c>
      <c r="B326" s="26" t="s">
        <v>1786</v>
      </c>
      <c r="C326" s="26" t="s">
        <v>1812</v>
      </c>
      <c r="D326" s="26" t="s">
        <v>1293</v>
      </c>
      <c r="E326" s="26" t="s">
        <v>1294</v>
      </c>
      <c r="F326" s="26" t="s">
        <v>1770</v>
      </c>
      <c r="G326" s="80">
        <v>22.68</v>
      </c>
    </row>
    <row r="327" spans="1:7" x14ac:dyDescent="0.25">
      <c r="A327" s="26" t="str">
        <f t="shared" si="8"/>
        <v>IFI00A_SWHST_BYERS</v>
      </c>
      <c r="B327" s="26" t="s">
        <v>1471</v>
      </c>
      <c r="C327" s="26" t="s">
        <v>1812</v>
      </c>
      <c r="D327" s="26" t="s">
        <v>1293</v>
      </c>
      <c r="E327" s="26" t="s">
        <v>1294</v>
      </c>
      <c r="F327" s="26" t="s">
        <v>1770</v>
      </c>
      <c r="G327" s="80">
        <v>97.2</v>
      </c>
    </row>
    <row r="328" spans="1:7" x14ac:dyDescent="0.25">
      <c r="A328" s="26" t="str">
        <f t="shared" si="8"/>
        <v>IFI02A_SWHST_BYERS</v>
      </c>
      <c r="B328" s="26" t="s">
        <v>1474</v>
      </c>
      <c r="C328" s="26" t="s">
        <v>1812</v>
      </c>
      <c r="D328" s="26" t="s">
        <v>1293</v>
      </c>
      <c r="E328" s="26" t="s">
        <v>1294</v>
      </c>
      <c r="F328" s="26" t="s">
        <v>1770</v>
      </c>
      <c r="G328" s="80">
        <v>0.1</v>
      </c>
    </row>
    <row r="329" spans="1:7" x14ac:dyDescent="0.25">
      <c r="A329" s="26" t="str">
        <f t="shared" si="8"/>
        <v>IFI04A_SWHST_BYERS</v>
      </c>
      <c r="B329" s="26" t="s">
        <v>1477</v>
      </c>
      <c r="C329" s="26" t="s">
        <v>1812</v>
      </c>
      <c r="D329" s="26" t="s">
        <v>1293</v>
      </c>
      <c r="E329" s="26" t="s">
        <v>1294</v>
      </c>
      <c r="F329" s="26" t="s">
        <v>1770</v>
      </c>
      <c r="G329" s="80">
        <v>27.22</v>
      </c>
    </row>
    <row r="330" spans="1:7" x14ac:dyDescent="0.25">
      <c r="A330" s="26" t="str">
        <f t="shared" si="8"/>
        <v>IFI06A_SWHST_BYERS</v>
      </c>
      <c r="B330" s="26" t="s">
        <v>1479</v>
      </c>
      <c r="C330" s="26" t="s">
        <v>1812</v>
      </c>
      <c r="D330" s="26" t="s">
        <v>1293</v>
      </c>
      <c r="E330" s="26" t="s">
        <v>1294</v>
      </c>
      <c r="F330" s="26" t="s">
        <v>1770</v>
      </c>
      <c r="G330" s="80">
        <v>87.48</v>
      </c>
    </row>
    <row r="331" spans="1:7" x14ac:dyDescent="0.25">
      <c r="A331" s="26" t="str">
        <f t="shared" si="8"/>
        <v>IFI08A_SWHST_BYERS</v>
      </c>
      <c r="B331" s="26" t="s">
        <v>1481</v>
      </c>
      <c r="C331" s="26" t="s">
        <v>1812</v>
      </c>
      <c r="D331" s="26" t="s">
        <v>1293</v>
      </c>
      <c r="E331" s="26" t="s">
        <v>1294</v>
      </c>
      <c r="F331" s="26" t="s">
        <v>1770</v>
      </c>
      <c r="G331" s="80">
        <v>129.6</v>
      </c>
    </row>
    <row r="332" spans="1:7" x14ac:dyDescent="0.25">
      <c r="A332" s="26" t="str">
        <f t="shared" si="8"/>
        <v>IFI10A_SWHST_BYERS</v>
      </c>
      <c r="B332" s="26" t="s">
        <v>1483</v>
      </c>
      <c r="C332" s="26" t="s">
        <v>1812</v>
      </c>
      <c r="D332" s="26" t="s">
        <v>1293</v>
      </c>
      <c r="E332" s="26" t="s">
        <v>1294</v>
      </c>
      <c r="F332" s="26" t="s">
        <v>1770</v>
      </c>
      <c r="G332" s="80">
        <v>0.16</v>
      </c>
    </row>
    <row r="333" spans="1:7" x14ac:dyDescent="0.25">
      <c r="A333" s="26" t="str">
        <f t="shared" si="8"/>
        <v>IFI12A_SWHST_BYERS</v>
      </c>
      <c r="B333" s="26" t="s">
        <v>1485</v>
      </c>
      <c r="C333" s="26" t="s">
        <v>1812</v>
      </c>
      <c r="D333" s="26" t="s">
        <v>1293</v>
      </c>
      <c r="E333" s="26" t="s">
        <v>1294</v>
      </c>
      <c r="F333" s="26" t="s">
        <v>1770</v>
      </c>
      <c r="G333" s="80">
        <v>35.64</v>
      </c>
    </row>
    <row r="334" spans="1:7" x14ac:dyDescent="0.25">
      <c r="A334" s="26" t="str">
        <f t="shared" si="8"/>
        <v>IFI14A_SWHST_BYERS</v>
      </c>
      <c r="B334" s="26" t="s">
        <v>1487</v>
      </c>
      <c r="C334" s="26" t="s">
        <v>1812</v>
      </c>
      <c r="D334" s="26" t="s">
        <v>1293</v>
      </c>
      <c r="E334" s="26" t="s">
        <v>1294</v>
      </c>
      <c r="F334" s="26" t="s">
        <v>1770</v>
      </c>
      <c r="G334" s="80">
        <v>115.99</v>
      </c>
    </row>
    <row r="335" spans="1:7" x14ac:dyDescent="0.25">
      <c r="A335" s="26" t="str">
        <f t="shared" si="8"/>
        <v>IFI16A_SWHST_BYERS</v>
      </c>
      <c r="B335" s="26" t="s">
        <v>1790</v>
      </c>
      <c r="C335" s="26" t="s">
        <v>1812</v>
      </c>
      <c r="D335" s="26" t="s">
        <v>1293</v>
      </c>
      <c r="E335" s="26" t="s">
        <v>1294</v>
      </c>
      <c r="F335" s="26" t="s">
        <v>1770</v>
      </c>
      <c r="G335" s="80">
        <v>11.61</v>
      </c>
    </row>
    <row r="336" spans="1:7" x14ac:dyDescent="0.25">
      <c r="A336" s="26" t="str">
        <f t="shared" si="8"/>
        <v>IIN00A_SWHST_BYERS</v>
      </c>
      <c r="B336" s="26" t="s">
        <v>1489</v>
      </c>
      <c r="C336" s="26" t="s">
        <v>1812</v>
      </c>
      <c r="D336" s="26" t="s">
        <v>1293</v>
      </c>
      <c r="E336" s="26" t="s">
        <v>1294</v>
      </c>
      <c r="F336" s="26" t="s">
        <v>1770</v>
      </c>
      <c r="G336" s="80">
        <v>97.2</v>
      </c>
    </row>
    <row r="337" spans="1:7" x14ac:dyDescent="0.25">
      <c r="A337" s="26" t="str">
        <f t="shared" si="8"/>
        <v>IIN02A_SWHST_BYERS</v>
      </c>
      <c r="B337" s="26" t="s">
        <v>1492</v>
      </c>
      <c r="C337" s="26" t="s">
        <v>1812</v>
      </c>
      <c r="D337" s="26" t="s">
        <v>1293</v>
      </c>
      <c r="E337" s="26" t="s">
        <v>1294</v>
      </c>
      <c r="F337" s="26" t="s">
        <v>1770</v>
      </c>
      <c r="G337" s="80">
        <v>113.4</v>
      </c>
    </row>
    <row r="338" spans="1:7" x14ac:dyDescent="0.25">
      <c r="A338" s="26" t="str">
        <f t="shared" si="8"/>
        <v>IIN04A_SWHST_BYERS</v>
      </c>
      <c r="B338" s="26" t="s">
        <v>1495</v>
      </c>
      <c r="C338" s="26" t="s">
        <v>1812</v>
      </c>
      <c r="D338" s="26" t="s">
        <v>1293</v>
      </c>
      <c r="E338" s="26" t="s">
        <v>1294</v>
      </c>
      <c r="F338" s="26" t="s">
        <v>1770</v>
      </c>
      <c r="G338" s="80">
        <v>14.26</v>
      </c>
    </row>
    <row r="339" spans="1:7" x14ac:dyDescent="0.25">
      <c r="A339" s="26" t="str">
        <f t="shared" si="8"/>
        <v>IIN06A_SWHST_BYERS</v>
      </c>
      <c r="B339" s="26" t="s">
        <v>1497</v>
      </c>
      <c r="C339" s="26" t="s">
        <v>1812</v>
      </c>
      <c r="D339" s="26" t="s">
        <v>1293</v>
      </c>
      <c r="E339" s="26" t="s">
        <v>1294</v>
      </c>
      <c r="F339" s="26" t="s">
        <v>1770</v>
      </c>
      <c r="G339" s="80">
        <v>18.14</v>
      </c>
    </row>
    <row r="340" spans="1:7" x14ac:dyDescent="0.25">
      <c r="A340" s="26" t="str">
        <f t="shared" si="8"/>
        <v>IIN08A_SWHST_BYERS</v>
      </c>
      <c r="B340" s="26" t="s">
        <v>1499</v>
      </c>
      <c r="C340" s="26" t="s">
        <v>1812</v>
      </c>
      <c r="D340" s="26" t="s">
        <v>1293</v>
      </c>
      <c r="E340" s="26" t="s">
        <v>1294</v>
      </c>
      <c r="F340" s="26" t="s">
        <v>1770</v>
      </c>
      <c r="G340" s="80">
        <v>291.60000000000002</v>
      </c>
    </row>
    <row r="341" spans="1:7" x14ac:dyDescent="0.25">
      <c r="A341" s="26" t="str">
        <f t="shared" si="8"/>
        <v>IIN10A_SWHST_BYERS</v>
      </c>
      <c r="B341" s="26" t="s">
        <v>1792</v>
      </c>
      <c r="C341" s="26" t="s">
        <v>1812</v>
      </c>
      <c r="D341" s="26" t="s">
        <v>1293</v>
      </c>
      <c r="E341" s="26" t="s">
        <v>1294</v>
      </c>
      <c r="F341" s="26" t="s">
        <v>1770</v>
      </c>
      <c r="G341" s="79" t="s">
        <v>1805</v>
      </c>
    </row>
    <row r="342" spans="1:7" x14ac:dyDescent="0.25">
      <c r="A342" s="26" t="str">
        <f t="shared" si="8"/>
        <v>IIN12A_SWHST_BYERS</v>
      </c>
      <c r="B342" s="26" t="s">
        <v>1793</v>
      </c>
      <c r="C342" s="26" t="s">
        <v>1812</v>
      </c>
      <c r="D342" s="26" t="s">
        <v>1293</v>
      </c>
      <c r="E342" s="26" t="s">
        <v>1294</v>
      </c>
      <c r="F342" s="26" t="s">
        <v>1770</v>
      </c>
      <c r="G342" s="79" t="s">
        <v>1805</v>
      </c>
    </row>
    <row r="343" spans="1:7" x14ac:dyDescent="0.25">
      <c r="A343" s="26" t="str">
        <f t="shared" si="8"/>
        <v>IPO00A_SWHST_BYERS</v>
      </c>
      <c r="B343" s="26" t="s">
        <v>1500</v>
      </c>
      <c r="C343" s="26" t="s">
        <v>1812</v>
      </c>
      <c r="D343" s="26" t="s">
        <v>1293</v>
      </c>
      <c r="E343" s="26" t="s">
        <v>1294</v>
      </c>
      <c r="F343" s="26" t="s">
        <v>1770</v>
      </c>
      <c r="G343" s="80">
        <v>48.6</v>
      </c>
    </row>
    <row r="344" spans="1:7" x14ac:dyDescent="0.25">
      <c r="A344" s="26" t="str">
        <f t="shared" si="8"/>
        <v>IPO02A_SWHST_BYERS</v>
      </c>
      <c r="B344" s="26" t="s">
        <v>1502</v>
      </c>
      <c r="C344" s="26" t="s">
        <v>1812</v>
      </c>
      <c r="D344" s="26" t="s">
        <v>1293</v>
      </c>
      <c r="E344" s="26" t="s">
        <v>1294</v>
      </c>
      <c r="F344" s="26" t="s">
        <v>1770</v>
      </c>
      <c r="G344" s="80">
        <v>23.98</v>
      </c>
    </row>
    <row r="345" spans="1:7" x14ac:dyDescent="0.25">
      <c r="A345" s="26" t="str">
        <f t="shared" si="8"/>
        <v>IPO04A_SWHST_BYERS</v>
      </c>
      <c r="B345" s="26" t="s">
        <v>1504</v>
      </c>
      <c r="C345" s="26" t="s">
        <v>1812</v>
      </c>
      <c r="D345" s="26" t="s">
        <v>1293</v>
      </c>
      <c r="E345" s="26" t="s">
        <v>1294</v>
      </c>
      <c r="F345" s="26" t="s">
        <v>1770</v>
      </c>
      <c r="G345" s="80">
        <v>68.69</v>
      </c>
    </row>
    <row r="346" spans="1:7" x14ac:dyDescent="0.25">
      <c r="A346" s="26" t="str">
        <f t="shared" si="8"/>
        <v>IPO06A_SWHST_BYERS</v>
      </c>
      <c r="B346" s="26" t="s">
        <v>1506</v>
      </c>
      <c r="C346" s="26" t="s">
        <v>1812</v>
      </c>
      <c r="D346" s="26" t="s">
        <v>1293</v>
      </c>
      <c r="E346" s="26" t="s">
        <v>1294</v>
      </c>
      <c r="F346" s="26" t="s">
        <v>1770</v>
      </c>
      <c r="G346" s="80">
        <v>2.59</v>
      </c>
    </row>
    <row r="347" spans="1:7" x14ac:dyDescent="0.25">
      <c r="A347" s="26" t="str">
        <f t="shared" si="8"/>
        <v>IPO08A_SWHST_BYERS</v>
      </c>
      <c r="B347" s="26" t="s">
        <v>1509</v>
      </c>
      <c r="C347" s="26" t="s">
        <v>1812</v>
      </c>
      <c r="D347" s="26" t="s">
        <v>1293</v>
      </c>
      <c r="E347" s="26" t="s">
        <v>1294</v>
      </c>
      <c r="F347" s="26" t="s">
        <v>1770</v>
      </c>
      <c r="G347" s="80">
        <v>2.5299999999999998</v>
      </c>
    </row>
    <row r="348" spans="1:7" x14ac:dyDescent="0.25">
      <c r="A348" s="26" t="str">
        <f t="shared" si="8"/>
        <v>IPI00A_SWHST_BYERS</v>
      </c>
      <c r="B348" s="26" t="s">
        <v>1511</v>
      </c>
      <c r="C348" s="26" t="s">
        <v>1812</v>
      </c>
      <c r="D348" s="26" t="s">
        <v>1293</v>
      </c>
      <c r="E348" s="26" t="s">
        <v>1294</v>
      </c>
      <c r="F348" s="26" t="s">
        <v>1770</v>
      </c>
      <c r="G348" s="80">
        <v>3.08</v>
      </c>
    </row>
    <row r="349" spans="1:7" x14ac:dyDescent="0.25">
      <c r="A349" s="26" t="str">
        <f t="shared" si="8"/>
        <v>IPI02A_SWHST_BYERS</v>
      </c>
      <c r="B349" s="26" t="s">
        <v>1513</v>
      </c>
      <c r="C349" s="26" t="s">
        <v>1812</v>
      </c>
      <c r="D349" s="26" t="s">
        <v>1293</v>
      </c>
      <c r="E349" s="26" t="s">
        <v>1294</v>
      </c>
      <c r="F349" s="26" t="s">
        <v>1770</v>
      </c>
      <c r="G349" s="80">
        <v>6.16</v>
      </c>
    </row>
    <row r="350" spans="1:7" x14ac:dyDescent="0.25">
      <c r="A350" s="26" t="str">
        <f t="shared" si="8"/>
        <v>ISS00A_SWHST_BYERS</v>
      </c>
      <c r="B350" s="26" t="s">
        <v>1515</v>
      </c>
      <c r="C350" s="26" t="s">
        <v>1812</v>
      </c>
      <c r="D350" s="26" t="s">
        <v>1293</v>
      </c>
      <c r="E350" s="26" t="s">
        <v>1294</v>
      </c>
      <c r="F350" s="26" t="s">
        <v>1770</v>
      </c>
      <c r="G350" s="80">
        <v>27.22</v>
      </c>
    </row>
    <row r="351" spans="1:7" x14ac:dyDescent="0.25">
      <c r="A351" s="26" t="str">
        <f t="shared" si="8"/>
        <v>ISS02A_SWHST_BYERS</v>
      </c>
      <c r="B351" s="26" t="s">
        <v>1517</v>
      </c>
      <c r="C351" s="26" t="s">
        <v>1812</v>
      </c>
      <c r="D351" s="26" t="s">
        <v>1293</v>
      </c>
      <c r="E351" s="26" t="s">
        <v>1294</v>
      </c>
      <c r="F351" s="26" t="s">
        <v>1770</v>
      </c>
      <c r="G351" s="80">
        <v>66.099999999999994</v>
      </c>
    </row>
    <row r="352" spans="1:7" x14ac:dyDescent="0.25">
      <c r="A352" s="26" t="str">
        <f t="shared" si="8"/>
        <v>TPE00A_SWHST_BYERS</v>
      </c>
      <c r="B352" s="26" t="s">
        <v>1520</v>
      </c>
      <c r="C352" s="26" t="s">
        <v>1812</v>
      </c>
      <c r="D352" s="26" t="s">
        <v>1293</v>
      </c>
      <c r="E352" s="26" t="s">
        <v>1294</v>
      </c>
      <c r="F352" s="26" t="s">
        <v>1770</v>
      </c>
      <c r="G352" s="80">
        <v>65.290000000000006</v>
      </c>
    </row>
    <row r="353" spans="1:7" x14ac:dyDescent="0.25">
      <c r="A353" s="26" t="str">
        <f t="shared" si="8"/>
        <v>TPE02A_SWHST_BYERS</v>
      </c>
      <c r="B353" s="26" t="s">
        <v>1522</v>
      </c>
      <c r="C353" s="26" t="s">
        <v>1812</v>
      </c>
      <c r="D353" s="26" t="s">
        <v>1293</v>
      </c>
      <c r="E353" s="26" t="s">
        <v>1294</v>
      </c>
      <c r="F353" s="26" t="s">
        <v>1770</v>
      </c>
      <c r="G353" s="80">
        <v>87.89</v>
      </c>
    </row>
    <row r="354" spans="1:7" x14ac:dyDescent="0.25">
      <c r="A354" s="26" t="str">
        <f t="shared" si="8"/>
        <v>TPE04A_SWHST_BYERS</v>
      </c>
      <c r="B354" s="26" t="s">
        <v>1524</v>
      </c>
      <c r="C354" s="26" t="s">
        <v>1812</v>
      </c>
      <c r="D354" s="26" t="s">
        <v>1293</v>
      </c>
      <c r="E354" s="26" t="s">
        <v>1294</v>
      </c>
      <c r="F354" s="26" t="s">
        <v>1770</v>
      </c>
      <c r="G354" s="80">
        <v>0.73</v>
      </c>
    </row>
    <row r="355" spans="1:7" x14ac:dyDescent="0.25">
      <c r="A355" s="26" t="str">
        <f t="shared" si="8"/>
        <v>TPE06A_SWHST_BYERS</v>
      </c>
      <c r="B355" s="26" t="s">
        <v>1526</v>
      </c>
      <c r="C355" s="26" t="s">
        <v>1812</v>
      </c>
      <c r="D355" s="26" t="s">
        <v>1293</v>
      </c>
      <c r="E355" s="26" t="s">
        <v>1294</v>
      </c>
      <c r="F355" s="26" t="s">
        <v>1770</v>
      </c>
      <c r="G355" s="80">
        <v>0.47</v>
      </c>
    </row>
    <row r="356" spans="1:7" x14ac:dyDescent="0.25">
      <c r="A356" s="26" t="str">
        <f t="shared" si="8"/>
        <v>TCP00A_SWHST_BYERS</v>
      </c>
      <c r="B356" s="26" t="s">
        <v>1529</v>
      </c>
      <c r="C356" s="26" t="s">
        <v>1812</v>
      </c>
      <c r="D356" s="26" t="s">
        <v>1293</v>
      </c>
      <c r="E356" s="26" t="s">
        <v>1294</v>
      </c>
      <c r="F356" s="26" t="s">
        <v>1770</v>
      </c>
      <c r="G356" s="80">
        <v>95.42</v>
      </c>
    </row>
    <row r="357" spans="1:7" x14ac:dyDescent="0.25">
      <c r="A357" s="26" t="str">
        <f t="shared" si="8"/>
        <v>TOP00A_SWHST_BYERS</v>
      </c>
      <c r="B357" s="26" t="s">
        <v>1532</v>
      </c>
      <c r="C357" s="26" t="s">
        <v>1812</v>
      </c>
      <c r="D357" s="26" t="s">
        <v>1293</v>
      </c>
      <c r="E357" s="26" t="s">
        <v>1294</v>
      </c>
      <c r="F357" s="26" t="s">
        <v>1770</v>
      </c>
      <c r="G357" s="80">
        <v>141.62</v>
      </c>
    </row>
    <row r="358" spans="1:7" x14ac:dyDescent="0.25">
      <c r="A358" s="26" t="str">
        <f t="shared" si="8"/>
        <v>TOP02A_SWHST_BYERS</v>
      </c>
      <c r="B358" s="26" t="s">
        <v>1535</v>
      </c>
      <c r="C358" s="26" t="s">
        <v>1812</v>
      </c>
      <c r="D358" s="26" t="s">
        <v>1293</v>
      </c>
      <c r="E358" s="26" t="s">
        <v>1294</v>
      </c>
      <c r="F358" s="26" t="s">
        <v>1770</v>
      </c>
      <c r="G358" s="80">
        <v>57.75</v>
      </c>
    </row>
    <row r="359" spans="1:7" x14ac:dyDescent="0.25">
      <c r="A359" s="26" t="str">
        <f t="shared" si="8"/>
        <v>TOP04A_SWHST_BYERS</v>
      </c>
      <c r="B359" s="26" t="s">
        <v>1537</v>
      </c>
      <c r="C359" s="26" t="s">
        <v>1812</v>
      </c>
      <c r="D359" s="26" t="s">
        <v>1293</v>
      </c>
      <c r="E359" s="26" t="s">
        <v>1294</v>
      </c>
      <c r="F359" s="26" t="s">
        <v>1770</v>
      </c>
      <c r="G359" s="80">
        <v>36.159999999999997</v>
      </c>
    </row>
    <row r="360" spans="1:7" x14ac:dyDescent="0.25">
      <c r="A360" s="26" t="str">
        <f t="shared" si="8"/>
        <v>T0P06A_SWHST_BYERS</v>
      </c>
      <c r="B360" s="26" t="s">
        <v>1540</v>
      </c>
      <c r="C360" s="26" t="s">
        <v>1812</v>
      </c>
      <c r="D360" s="26" t="s">
        <v>1293</v>
      </c>
      <c r="E360" s="26" t="s">
        <v>1294</v>
      </c>
      <c r="F360" s="26" t="s">
        <v>1770</v>
      </c>
      <c r="G360" s="79" t="s">
        <v>1805</v>
      </c>
    </row>
    <row r="361" spans="1:7" x14ac:dyDescent="0.25">
      <c r="A361" s="26" t="str">
        <f t="shared" si="8"/>
        <v>TOP08A_SWHST_BYERS</v>
      </c>
      <c r="B361" s="26" t="s">
        <v>1542</v>
      </c>
      <c r="C361" s="26" t="s">
        <v>1812</v>
      </c>
      <c r="D361" s="26" t="s">
        <v>1293</v>
      </c>
      <c r="E361" s="26" t="s">
        <v>1294</v>
      </c>
      <c r="F361" s="26" t="s">
        <v>1770</v>
      </c>
      <c r="G361" s="80">
        <v>0.78</v>
      </c>
    </row>
    <row r="362" spans="1:7" x14ac:dyDescent="0.25">
      <c r="A362" s="26" t="str">
        <f t="shared" si="8"/>
        <v>TPS00A_SWHST_BYERS</v>
      </c>
      <c r="B362" s="26" t="s">
        <v>1544</v>
      </c>
      <c r="C362" s="26" t="s">
        <v>1812</v>
      </c>
      <c r="D362" s="26" t="s">
        <v>1293</v>
      </c>
      <c r="E362" s="26" t="s">
        <v>1294</v>
      </c>
      <c r="F362" s="26" t="s">
        <v>1770</v>
      </c>
      <c r="G362" s="80">
        <v>150.66</v>
      </c>
    </row>
    <row r="363" spans="1:7" x14ac:dyDescent="0.25">
      <c r="A363" s="26" t="str">
        <f t="shared" si="8"/>
        <v>DCA00A_SWHST_BYERS</v>
      </c>
      <c r="B363" s="26" t="s">
        <v>1574</v>
      </c>
      <c r="C363" s="26" t="s">
        <v>1812</v>
      </c>
      <c r="D363" s="26" t="s">
        <v>1293</v>
      </c>
      <c r="E363" s="26" t="s">
        <v>1294</v>
      </c>
      <c r="F363" s="26" t="s">
        <v>1770</v>
      </c>
      <c r="G363" s="80">
        <v>0.8</v>
      </c>
    </row>
    <row r="364" spans="1:7" x14ac:dyDescent="0.25">
      <c r="A364" s="26" t="str">
        <f t="shared" si="8"/>
        <v>DCA02A_SWHST_BYERS</v>
      </c>
      <c r="B364" s="26" t="s">
        <v>1576</v>
      </c>
      <c r="C364" s="26" t="s">
        <v>1812</v>
      </c>
      <c r="D364" s="26" t="s">
        <v>1293</v>
      </c>
      <c r="E364" s="26" t="s">
        <v>1294</v>
      </c>
      <c r="F364" s="26" t="s">
        <v>1770</v>
      </c>
      <c r="G364" s="80">
        <v>0</v>
      </c>
    </row>
    <row r="365" spans="1:7" x14ac:dyDescent="0.25">
      <c r="A365" s="26" t="str">
        <f t="shared" si="8"/>
        <v>DCA04A_SWHST_BYERS</v>
      </c>
      <c r="B365" s="26" t="s">
        <v>1578</v>
      </c>
      <c r="C365" s="26" t="s">
        <v>1812</v>
      </c>
      <c r="D365" s="26" t="s">
        <v>1293</v>
      </c>
      <c r="E365" s="26" t="s">
        <v>1294</v>
      </c>
      <c r="F365" s="26" t="s">
        <v>1770</v>
      </c>
      <c r="G365" s="80">
        <v>0.35</v>
      </c>
    </row>
    <row r="366" spans="1:7" x14ac:dyDescent="0.25">
      <c r="A366" s="26" t="str">
        <f t="shared" si="8"/>
        <v>DCA06A_SWHST_BYERS</v>
      </c>
      <c r="B366" s="26" t="s">
        <v>1580</v>
      </c>
      <c r="C366" s="26" t="s">
        <v>1812</v>
      </c>
      <c r="D366" s="26" t="s">
        <v>1293</v>
      </c>
      <c r="E366" s="26" t="s">
        <v>1294</v>
      </c>
      <c r="F366" s="26" t="s">
        <v>1770</v>
      </c>
      <c r="G366" s="80">
        <v>1.48</v>
      </c>
    </row>
    <row r="367" spans="1:7" x14ac:dyDescent="0.25">
      <c r="A367" s="26" t="str">
        <f t="shared" si="8"/>
        <v>DCA08A_SWHST_BYERS</v>
      </c>
      <c r="B367" s="26" t="s">
        <v>1582</v>
      </c>
      <c r="C367" s="26" t="s">
        <v>1812</v>
      </c>
      <c r="D367" s="26" t="s">
        <v>1293</v>
      </c>
      <c r="E367" s="26" t="s">
        <v>1294</v>
      </c>
      <c r="F367" s="26" t="s">
        <v>1770</v>
      </c>
      <c r="G367" s="80">
        <v>0</v>
      </c>
    </row>
    <row r="368" spans="1:7" x14ac:dyDescent="0.25">
      <c r="A368" s="26" t="str">
        <f t="shared" si="8"/>
        <v>DCA10A_SWHST_BYERS</v>
      </c>
      <c r="B368" s="26" t="s">
        <v>1584</v>
      </c>
      <c r="C368" s="26" t="s">
        <v>1812</v>
      </c>
      <c r="D368" s="26" t="s">
        <v>1293</v>
      </c>
      <c r="E368" s="26" t="s">
        <v>1294</v>
      </c>
      <c r="F368" s="26" t="s">
        <v>1770</v>
      </c>
      <c r="G368" s="80">
        <v>0</v>
      </c>
    </row>
    <row r="369" spans="1:7" x14ac:dyDescent="0.25">
      <c r="A369" s="26" t="str">
        <f t="shared" si="8"/>
        <v>DCA12A_SWHST_BYERS</v>
      </c>
      <c r="B369" s="26" t="s">
        <v>1586</v>
      </c>
      <c r="C369" s="26" t="s">
        <v>1812</v>
      </c>
      <c r="D369" s="26" t="s">
        <v>1293</v>
      </c>
      <c r="E369" s="26" t="s">
        <v>1294</v>
      </c>
      <c r="F369" s="26" t="s">
        <v>1770</v>
      </c>
      <c r="G369" s="80">
        <v>0</v>
      </c>
    </row>
    <row r="370" spans="1:7" x14ac:dyDescent="0.25">
      <c r="A370" s="26" t="str">
        <f t="shared" si="8"/>
        <v>DCA14A_SWHST_BYERS</v>
      </c>
      <c r="B370" s="26" t="s">
        <v>1588</v>
      </c>
      <c r="C370" s="26" t="s">
        <v>1812</v>
      </c>
      <c r="D370" s="26" t="s">
        <v>1293</v>
      </c>
      <c r="E370" s="26" t="s">
        <v>1294</v>
      </c>
      <c r="F370" s="26" t="s">
        <v>1770</v>
      </c>
      <c r="G370" s="80">
        <v>0.56000000000000005</v>
      </c>
    </row>
    <row r="371" spans="1:7" x14ac:dyDescent="0.25">
      <c r="A371" s="26" t="str">
        <f t="shared" si="8"/>
        <v>DCA16A_SWHST_BYERS</v>
      </c>
      <c r="B371" s="26" t="s">
        <v>1590</v>
      </c>
      <c r="C371" s="26" t="s">
        <v>1812</v>
      </c>
      <c r="D371" s="26" t="s">
        <v>1293</v>
      </c>
      <c r="E371" s="26" t="s">
        <v>1294</v>
      </c>
      <c r="F371" s="26" t="s">
        <v>1770</v>
      </c>
      <c r="G371" s="80">
        <v>2.17</v>
      </c>
    </row>
    <row r="372" spans="1:7" x14ac:dyDescent="0.25">
      <c r="A372" s="26" t="str">
        <f t="shared" si="8"/>
        <v>ODA00A_SWHST_BYERS</v>
      </c>
      <c r="B372" s="26" t="s">
        <v>1592</v>
      </c>
      <c r="C372" s="26" t="s">
        <v>1812</v>
      </c>
      <c r="D372" s="26" t="s">
        <v>1293</v>
      </c>
      <c r="E372" s="26" t="s">
        <v>1294</v>
      </c>
      <c r="F372" s="26" t="s">
        <v>1770</v>
      </c>
      <c r="G372" s="80">
        <v>3.73</v>
      </c>
    </row>
    <row r="373" spans="1:7" x14ac:dyDescent="0.25">
      <c r="A373" s="26" t="str">
        <f t="shared" si="8"/>
        <v>ODA02A_SWHST_BYERS</v>
      </c>
      <c r="B373" s="26" t="s">
        <v>1595</v>
      </c>
      <c r="C373" s="26" t="s">
        <v>1812</v>
      </c>
      <c r="D373" s="26" t="s">
        <v>1293</v>
      </c>
      <c r="E373" s="26" t="s">
        <v>1294</v>
      </c>
      <c r="F373" s="26" t="s">
        <v>1770</v>
      </c>
      <c r="G373" s="80">
        <v>0.81</v>
      </c>
    </row>
    <row r="374" spans="1:7" x14ac:dyDescent="0.25">
      <c r="A374" s="26" t="str">
        <f t="shared" si="8"/>
        <v>ODA04A_SWHST_BYERS</v>
      </c>
      <c r="B374" s="26" t="s">
        <v>1598</v>
      </c>
      <c r="C374" s="26" t="s">
        <v>1812</v>
      </c>
      <c r="D374" s="26" t="s">
        <v>1293</v>
      </c>
      <c r="E374" s="26" t="s">
        <v>1294</v>
      </c>
      <c r="F374" s="26" t="s">
        <v>1770</v>
      </c>
      <c r="G374" s="80">
        <v>0.05</v>
      </c>
    </row>
    <row r="375" spans="1:7" x14ac:dyDescent="0.25">
      <c r="A375" s="26" t="str">
        <f t="shared" si="8"/>
        <v>ODA06A_SWHST_BYERS</v>
      </c>
      <c r="B375" s="26" t="s">
        <v>1601</v>
      </c>
      <c r="C375" s="26" t="s">
        <v>1812</v>
      </c>
      <c r="D375" s="26" t="s">
        <v>1293</v>
      </c>
      <c r="E375" s="26" t="s">
        <v>1294</v>
      </c>
      <c r="F375" s="26" t="s">
        <v>1770</v>
      </c>
      <c r="G375" s="80">
        <v>0.01</v>
      </c>
    </row>
    <row r="376" spans="1:7" x14ac:dyDescent="0.25">
      <c r="A376" s="26" t="str">
        <f t="shared" si="8"/>
        <v>ODA08A_SWHST_BYERS</v>
      </c>
      <c r="B376" s="26" t="s">
        <v>1604</v>
      </c>
      <c r="C376" s="26" t="s">
        <v>1812</v>
      </c>
      <c r="D376" s="26" t="s">
        <v>1293</v>
      </c>
      <c r="E376" s="26" t="s">
        <v>1294</v>
      </c>
      <c r="F376" s="26" t="s">
        <v>1770</v>
      </c>
      <c r="G376" s="80">
        <v>0.01</v>
      </c>
    </row>
    <row r="377" spans="1:7" x14ac:dyDescent="0.25">
      <c r="A377" s="26" t="str">
        <f t="shared" si="8"/>
        <v>SAC00A_SWHST_BYERS</v>
      </c>
      <c r="B377" s="26" t="s">
        <v>1607</v>
      </c>
      <c r="C377" s="26" t="s">
        <v>1812</v>
      </c>
      <c r="D377" s="26" t="s">
        <v>1293</v>
      </c>
      <c r="E377" s="26" t="s">
        <v>1294</v>
      </c>
      <c r="F377" s="26" t="s">
        <v>1770</v>
      </c>
      <c r="G377" s="80">
        <v>1.97</v>
      </c>
    </row>
    <row r="378" spans="1:7" x14ac:dyDescent="0.25">
      <c r="A378" s="26" t="str">
        <f t="shared" si="8"/>
        <v>SAC02A_SWHST_BYERS</v>
      </c>
      <c r="B378" s="26" t="s">
        <v>1609</v>
      </c>
      <c r="C378" s="26" t="s">
        <v>1812</v>
      </c>
      <c r="D378" s="26" t="s">
        <v>1293</v>
      </c>
      <c r="E378" s="26" t="s">
        <v>1294</v>
      </c>
      <c r="F378" s="26" t="s">
        <v>1770</v>
      </c>
      <c r="G378" s="80">
        <v>1.53</v>
      </c>
    </row>
    <row r="379" spans="1:7" x14ac:dyDescent="0.25">
      <c r="A379" s="26" t="str">
        <f t="shared" si="8"/>
        <v>SAC04A_SWHST_BYERS</v>
      </c>
      <c r="B379" s="26" t="s">
        <v>1611</v>
      </c>
      <c r="C379" s="26" t="s">
        <v>1812</v>
      </c>
      <c r="D379" s="26" t="s">
        <v>1293</v>
      </c>
      <c r="E379" s="26" t="s">
        <v>1294</v>
      </c>
      <c r="F379" s="26" t="s">
        <v>1770</v>
      </c>
      <c r="G379" s="80">
        <v>0.38</v>
      </c>
    </row>
    <row r="380" spans="1:7" x14ac:dyDescent="0.25">
      <c r="A380" s="26" t="str">
        <f t="shared" si="8"/>
        <v>SAE00A_SWHST_BYERS</v>
      </c>
      <c r="B380" s="26" t="s">
        <v>1613</v>
      </c>
      <c r="C380" s="26" t="s">
        <v>1812</v>
      </c>
      <c r="D380" s="26" t="s">
        <v>1293</v>
      </c>
      <c r="E380" s="26" t="s">
        <v>1294</v>
      </c>
      <c r="F380" s="26" t="s">
        <v>1770</v>
      </c>
      <c r="G380" s="80">
        <v>0.41</v>
      </c>
    </row>
    <row r="381" spans="1:7" x14ac:dyDescent="0.25">
      <c r="A381" s="26" t="str">
        <f t="shared" si="8"/>
        <v>SAE02A_SWHST_BYERS</v>
      </c>
      <c r="B381" s="26" t="s">
        <v>1797</v>
      </c>
      <c r="C381" s="26" t="s">
        <v>1812</v>
      </c>
      <c r="D381" s="26" t="s">
        <v>1293</v>
      </c>
      <c r="E381" s="26" t="s">
        <v>1294</v>
      </c>
      <c r="F381" s="26" t="s">
        <v>1770</v>
      </c>
      <c r="G381" s="79" t="s">
        <v>1805</v>
      </c>
    </row>
    <row r="382" spans="1:7" x14ac:dyDescent="0.25">
      <c r="A382" s="26" t="str">
        <f t="shared" si="8"/>
        <v>SAE04A_SWHST_BYERS</v>
      </c>
      <c r="B382" s="26" t="s">
        <v>1798</v>
      </c>
      <c r="C382" s="26" t="s">
        <v>1812</v>
      </c>
      <c r="D382" s="26" t="s">
        <v>1293</v>
      </c>
      <c r="E382" s="26" t="s">
        <v>1294</v>
      </c>
      <c r="F382" s="26" t="s">
        <v>1770</v>
      </c>
      <c r="G382" s="79" t="s">
        <v>1805</v>
      </c>
    </row>
    <row r="383" spans="1:7" x14ac:dyDescent="0.25">
      <c r="A383" s="26" t="str">
        <f t="shared" si="8"/>
        <v>SUG00A_SWHST_BYERS</v>
      </c>
      <c r="B383" s="26" t="s">
        <v>1615</v>
      </c>
      <c r="C383" s="26" t="s">
        <v>1812</v>
      </c>
      <c r="D383" s="26" t="s">
        <v>1293</v>
      </c>
      <c r="E383" s="26" t="s">
        <v>1294</v>
      </c>
      <c r="F383" s="26" t="s">
        <v>1770</v>
      </c>
      <c r="G383" s="80">
        <v>2.84</v>
      </c>
    </row>
    <row r="384" spans="1:7" x14ac:dyDescent="0.25">
      <c r="A384" s="26" t="str">
        <f t="shared" si="8"/>
        <v>SUG02A_SWHST_BYERS</v>
      </c>
      <c r="B384" s="26" t="s">
        <v>1617</v>
      </c>
      <c r="C384" s="26" t="s">
        <v>1812</v>
      </c>
      <c r="D384" s="26" t="s">
        <v>1293</v>
      </c>
      <c r="E384" s="26" t="s">
        <v>1294</v>
      </c>
      <c r="F384" s="26" t="s">
        <v>1770</v>
      </c>
      <c r="G384" s="80">
        <v>0.28000000000000003</v>
      </c>
    </row>
    <row r="385" spans="1:7" x14ac:dyDescent="0.25">
      <c r="A385" s="26" t="str">
        <f t="shared" si="8"/>
        <v>SUG02A_SWHST_BYERS</v>
      </c>
      <c r="B385" s="26" t="s">
        <v>1617</v>
      </c>
      <c r="C385" s="26" t="s">
        <v>1812</v>
      </c>
      <c r="D385" s="26" t="s">
        <v>1293</v>
      </c>
      <c r="E385" s="26" t="s">
        <v>1294</v>
      </c>
      <c r="F385" s="26" t="s">
        <v>1770</v>
      </c>
      <c r="G385" s="80">
        <v>0.28000000000000003</v>
      </c>
    </row>
    <row r="386" spans="1:7" x14ac:dyDescent="0.25">
      <c r="A386" s="26" t="str">
        <f t="shared" si="8"/>
        <v>ROW00A_SWHST_BYERS</v>
      </c>
      <c r="B386" s="26" t="s">
        <v>1619</v>
      </c>
      <c r="C386" s="26" t="s">
        <v>1812</v>
      </c>
      <c r="D386" s="26" t="s">
        <v>1293</v>
      </c>
      <c r="E386" s="26" t="s">
        <v>1294</v>
      </c>
      <c r="F386" s="26" t="s">
        <v>1770</v>
      </c>
      <c r="G386" s="80">
        <v>3.56</v>
      </c>
    </row>
    <row r="387" spans="1:7" x14ac:dyDescent="0.25">
      <c r="A387" s="26" t="str">
        <f t="shared" ref="A387:A450" si="9">B387&amp;"_"&amp;C387&amp;"_"&amp;E387</f>
        <v>ROW02A_SWHST_BYERS</v>
      </c>
      <c r="B387" s="26" t="s">
        <v>1621</v>
      </c>
      <c r="C387" s="26" t="s">
        <v>1812</v>
      </c>
      <c r="D387" s="26" t="s">
        <v>1293</v>
      </c>
      <c r="E387" s="26" t="s">
        <v>1294</v>
      </c>
      <c r="F387" s="26" t="s">
        <v>1770</v>
      </c>
      <c r="G387" s="80">
        <v>14.04</v>
      </c>
    </row>
    <row r="388" spans="1:7" x14ac:dyDescent="0.25">
      <c r="A388" s="26" t="str">
        <f t="shared" si="9"/>
        <v>ROW04A_SWHST_BYERS</v>
      </c>
      <c r="B388" s="26" t="s">
        <v>1623</v>
      </c>
      <c r="C388" s="26" t="s">
        <v>1812</v>
      </c>
      <c r="D388" s="26" t="s">
        <v>1293</v>
      </c>
      <c r="E388" s="26" t="s">
        <v>1294</v>
      </c>
      <c r="F388" s="26" t="s">
        <v>1770</v>
      </c>
      <c r="G388" s="80">
        <v>9.18</v>
      </c>
    </row>
    <row r="389" spans="1:7" x14ac:dyDescent="0.25">
      <c r="A389" s="26" t="str">
        <f t="shared" si="9"/>
        <v>ROW06A_SWHST_BYERS</v>
      </c>
      <c r="B389" s="26" t="s">
        <v>1625</v>
      </c>
      <c r="C389" s="26" t="s">
        <v>1812</v>
      </c>
      <c r="D389" s="26" t="s">
        <v>1293</v>
      </c>
      <c r="E389" s="26" t="s">
        <v>1294</v>
      </c>
      <c r="F389" s="26" t="s">
        <v>1770</v>
      </c>
      <c r="G389" s="80">
        <v>8.86</v>
      </c>
    </row>
    <row r="390" spans="1:7" x14ac:dyDescent="0.25">
      <c r="A390" s="26" t="str">
        <f t="shared" si="9"/>
        <v>ROW08A_SWHST_BYERS</v>
      </c>
      <c r="B390" s="26" t="s">
        <v>1627</v>
      </c>
      <c r="C390" s="26" t="s">
        <v>1812</v>
      </c>
      <c r="D390" s="26" t="s">
        <v>1293</v>
      </c>
      <c r="E390" s="26" t="s">
        <v>1294</v>
      </c>
      <c r="F390" s="26" t="s">
        <v>1770</v>
      </c>
      <c r="G390" s="80">
        <v>12.74</v>
      </c>
    </row>
    <row r="391" spans="1:7" x14ac:dyDescent="0.25">
      <c r="A391" s="26" t="str">
        <f t="shared" si="9"/>
        <v>ROW10A_SWHST_BYERS</v>
      </c>
      <c r="B391" s="26" t="s">
        <v>1629</v>
      </c>
      <c r="C391" s="26" t="s">
        <v>1812</v>
      </c>
      <c r="D391" s="26" t="s">
        <v>1293</v>
      </c>
      <c r="E391" s="26" t="s">
        <v>1294</v>
      </c>
      <c r="F391" s="26" t="s">
        <v>1770</v>
      </c>
      <c r="G391" s="80">
        <v>3.46</v>
      </c>
    </row>
    <row r="392" spans="1:7" x14ac:dyDescent="0.25">
      <c r="A392" s="26" t="str">
        <f t="shared" si="9"/>
        <v>ROW12A_SWHST_BYERS</v>
      </c>
      <c r="B392" s="26" t="s">
        <v>1631</v>
      </c>
      <c r="C392" s="26" t="s">
        <v>1812</v>
      </c>
      <c r="D392" s="26" t="s">
        <v>1293</v>
      </c>
      <c r="E392" s="26" t="s">
        <v>1294</v>
      </c>
      <c r="F392" s="26" t="s">
        <v>1770</v>
      </c>
      <c r="G392" s="80">
        <v>2.16</v>
      </c>
    </row>
    <row r="393" spans="1:7" x14ac:dyDescent="0.25">
      <c r="A393" s="26" t="str">
        <f t="shared" si="9"/>
        <v>ROW14A_SWHST_BYERS</v>
      </c>
      <c r="B393" s="26" t="s">
        <v>1633</v>
      </c>
      <c r="C393" s="26" t="s">
        <v>1812</v>
      </c>
      <c r="D393" s="26" t="s">
        <v>1293</v>
      </c>
      <c r="E393" s="26" t="s">
        <v>1294</v>
      </c>
      <c r="F393" s="26" t="s">
        <v>1770</v>
      </c>
      <c r="G393" s="80">
        <v>10.58</v>
      </c>
    </row>
    <row r="394" spans="1:7" x14ac:dyDescent="0.25">
      <c r="A394" s="26" t="str">
        <f t="shared" si="9"/>
        <v>ROW16A_SWHST_BYERS</v>
      </c>
      <c r="B394" s="26" t="s">
        <v>1635</v>
      </c>
      <c r="C394" s="26" t="s">
        <v>1812</v>
      </c>
      <c r="D394" s="26" t="s">
        <v>1293</v>
      </c>
      <c r="E394" s="26" t="s">
        <v>1294</v>
      </c>
      <c r="F394" s="26" t="s">
        <v>1770</v>
      </c>
      <c r="G394" s="80">
        <v>5.89</v>
      </c>
    </row>
    <row r="395" spans="1:7" x14ac:dyDescent="0.25">
      <c r="A395" s="26" t="str">
        <f t="shared" si="9"/>
        <v>ROW18A_SWHST_BYERS</v>
      </c>
      <c r="B395" s="26" t="s">
        <v>1637</v>
      </c>
      <c r="C395" s="26" t="s">
        <v>1812</v>
      </c>
      <c r="D395" s="26" t="s">
        <v>1293</v>
      </c>
      <c r="E395" s="26" t="s">
        <v>1294</v>
      </c>
      <c r="F395" s="26" t="s">
        <v>1770</v>
      </c>
      <c r="G395" s="80">
        <v>7.18</v>
      </c>
    </row>
    <row r="396" spans="1:7" x14ac:dyDescent="0.25">
      <c r="A396" s="26" t="str">
        <f t="shared" si="9"/>
        <v>ROW20A_SWHST_BYERS</v>
      </c>
      <c r="B396" s="26" t="s">
        <v>1639</v>
      </c>
      <c r="C396" s="26" t="s">
        <v>1812</v>
      </c>
      <c r="D396" s="26" t="s">
        <v>1293</v>
      </c>
      <c r="E396" s="26" t="s">
        <v>1294</v>
      </c>
      <c r="F396" s="26" t="s">
        <v>1770</v>
      </c>
      <c r="G396" s="80">
        <v>4.22</v>
      </c>
    </row>
    <row r="397" spans="1:7" x14ac:dyDescent="0.25">
      <c r="A397" s="26" t="str">
        <f t="shared" si="9"/>
        <v>ROW22A_SWHST_BYERS</v>
      </c>
      <c r="B397" s="26" t="s">
        <v>1641</v>
      </c>
      <c r="C397" s="26" t="s">
        <v>1812</v>
      </c>
      <c r="D397" s="26" t="s">
        <v>1293</v>
      </c>
      <c r="E397" s="26" t="s">
        <v>1294</v>
      </c>
      <c r="F397" s="26" t="s">
        <v>1770</v>
      </c>
      <c r="G397" s="80">
        <v>6.38</v>
      </c>
    </row>
    <row r="398" spans="1:7" x14ac:dyDescent="0.25">
      <c r="A398" s="26" t="str">
        <f t="shared" si="9"/>
        <v>ROW24A_SWHST_BYERS</v>
      </c>
      <c r="B398" s="26" t="s">
        <v>1643</v>
      </c>
      <c r="C398" s="26" t="s">
        <v>1812</v>
      </c>
      <c r="D398" s="26" t="s">
        <v>1293</v>
      </c>
      <c r="E398" s="26" t="s">
        <v>1294</v>
      </c>
      <c r="F398" s="26" t="s">
        <v>1770</v>
      </c>
      <c r="G398" s="80">
        <v>1.05</v>
      </c>
    </row>
    <row r="399" spans="1:7" x14ac:dyDescent="0.25">
      <c r="A399" s="26" t="str">
        <f t="shared" si="9"/>
        <v>ROW26A_SWHST_BYERS</v>
      </c>
      <c r="B399" s="26" t="s">
        <v>1646</v>
      </c>
      <c r="C399" s="26" t="s">
        <v>1812</v>
      </c>
      <c r="D399" s="26" t="s">
        <v>1293</v>
      </c>
      <c r="E399" s="26" t="s">
        <v>1294</v>
      </c>
      <c r="F399" s="26" t="s">
        <v>1770</v>
      </c>
      <c r="G399" s="80">
        <v>0.16</v>
      </c>
    </row>
    <row r="400" spans="1:7" x14ac:dyDescent="0.25">
      <c r="A400" s="26" t="str">
        <f t="shared" si="9"/>
        <v>ROW28A_SWHST_BYERS</v>
      </c>
      <c r="B400" s="26" t="s">
        <v>1649</v>
      </c>
      <c r="C400" s="26" t="s">
        <v>1812</v>
      </c>
      <c r="D400" s="26" t="s">
        <v>1293</v>
      </c>
      <c r="E400" s="26" t="s">
        <v>1294</v>
      </c>
      <c r="F400" s="26" t="s">
        <v>1770</v>
      </c>
      <c r="G400" s="80">
        <v>9.6999999999999993</v>
      </c>
    </row>
    <row r="401" spans="1:7" x14ac:dyDescent="0.25">
      <c r="A401" s="26" t="str">
        <f t="shared" si="9"/>
        <v>ROW30A_SWHST_BYERS</v>
      </c>
      <c r="B401" s="26" t="s">
        <v>1652</v>
      </c>
      <c r="C401" s="26" t="s">
        <v>1812</v>
      </c>
      <c r="D401" s="26" t="s">
        <v>1293</v>
      </c>
      <c r="E401" s="26" t="s">
        <v>1294</v>
      </c>
      <c r="F401" s="26" t="s">
        <v>1770</v>
      </c>
      <c r="G401" s="80">
        <v>0.01</v>
      </c>
    </row>
    <row r="402" spans="1:7" x14ac:dyDescent="0.25">
      <c r="A402" s="26" t="str">
        <f t="shared" si="9"/>
        <v>ROW32A_SWHST_BYERS</v>
      </c>
      <c r="B402" s="26" t="s">
        <v>1655</v>
      </c>
      <c r="C402" s="26" t="s">
        <v>1812</v>
      </c>
      <c r="D402" s="26" t="s">
        <v>1293</v>
      </c>
      <c r="E402" s="26" t="s">
        <v>1294</v>
      </c>
      <c r="F402" s="26" t="s">
        <v>1770</v>
      </c>
      <c r="G402" s="80">
        <v>2</v>
      </c>
    </row>
    <row r="403" spans="1:7" x14ac:dyDescent="0.25">
      <c r="A403" s="26" t="str">
        <f t="shared" si="9"/>
        <v>LMD00A_SWHST_BYERS</v>
      </c>
      <c r="B403" s="26" t="s">
        <v>1657</v>
      </c>
      <c r="C403" s="26" t="s">
        <v>1812</v>
      </c>
      <c r="D403" s="26" t="s">
        <v>1293</v>
      </c>
      <c r="E403" s="26" t="s">
        <v>1294</v>
      </c>
      <c r="F403" s="26" t="s">
        <v>1770</v>
      </c>
      <c r="G403" s="80">
        <v>0.02</v>
      </c>
    </row>
    <row r="404" spans="1:7" x14ac:dyDescent="0.25">
      <c r="A404" s="26" t="str">
        <f t="shared" si="9"/>
        <v>LMD02A_SWHST_BYERS</v>
      </c>
      <c r="B404" s="26" t="s">
        <v>1660</v>
      </c>
      <c r="C404" s="26" t="s">
        <v>1812</v>
      </c>
      <c r="D404" s="26" t="s">
        <v>1293</v>
      </c>
      <c r="E404" s="26" t="s">
        <v>1294</v>
      </c>
      <c r="F404" s="26" t="s">
        <v>1770</v>
      </c>
      <c r="G404" s="80">
        <v>0.01</v>
      </c>
    </row>
    <row r="405" spans="1:7" x14ac:dyDescent="0.25">
      <c r="A405" s="26" t="str">
        <f t="shared" si="9"/>
        <v>LMD04A_SWHST_BYERS</v>
      </c>
      <c r="B405" s="26" t="s">
        <v>1662</v>
      </c>
      <c r="C405" s="26" t="s">
        <v>1812</v>
      </c>
      <c r="D405" s="26" t="s">
        <v>1293</v>
      </c>
      <c r="E405" s="26" t="s">
        <v>1294</v>
      </c>
      <c r="F405" s="26" t="s">
        <v>1770</v>
      </c>
      <c r="G405" s="80">
        <v>0.01</v>
      </c>
    </row>
    <row r="406" spans="1:7" x14ac:dyDescent="0.25">
      <c r="A406" s="26" t="str">
        <f t="shared" si="9"/>
        <v>LMD06A_SWHST_BYERS</v>
      </c>
      <c r="B406" s="26" t="s">
        <v>1664</v>
      </c>
      <c r="C406" s="26" t="s">
        <v>1812</v>
      </c>
      <c r="D406" s="26" t="s">
        <v>1293</v>
      </c>
      <c r="E406" s="26" t="s">
        <v>1294</v>
      </c>
      <c r="F406" s="26" t="s">
        <v>1770</v>
      </c>
      <c r="G406" s="80">
        <v>0.86</v>
      </c>
    </row>
    <row r="407" spans="1:7" x14ac:dyDescent="0.25">
      <c r="A407" s="26" t="str">
        <f t="shared" si="9"/>
        <v>LMD08A_SWHST_BYERS</v>
      </c>
      <c r="B407" s="26" t="s">
        <v>1667</v>
      </c>
      <c r="C407" s="26" t="s">
        <v>1812</v>
      </c>
      <c r="D407" s="26" t="s">
        <v>1293</v>
      </c>
      <c r="E407" s="26" t="s">
        <v>1294</v>
      </c>
      <c r="F407" s="26" t="s">
        <v>1770</v>
      </c>
      <c r="G407" s="80">
        <v>2.16</v>
      </c>
    </row>
    <row r="408" spans="1:7" x14ac:dyDescent="0.25">
      <c r="A408" s="26" t="str">
        <f t="shared" si="9"/>
        <v>LMD10A_SWHST_BYERS</v>
      </c>
      <c r="B408" s="26" t="s">
        <v>1670</v>
      </c>
      <c r="C408" s="26" t="s">
        <v>1812</v>
      </c>
      <c r="D408" s="26" t="s">
        <v>1293</v>
      </c>
      <c r="E408" s="26" t="s">
        <v>1294</v>
      </c>
      <c r="F408" s="26" t="s">
        <v>1770</v>
      </c>
      <c r="G408" s="80">
        <v>2.13</v>
      </c>
    </row>
    <row r="409" spans="1:7" x14ac:dyDescent="0.25">
      <c r="A409" s="26" t="str">
        <f t="shared" si="9"/>
        <v>LMD12A_SWHST_BYERS</v>
      </c>
      <c r="B409" s="26" t="s">
        <v>1672</v>
      </c>
      <c r="C409" s="26" t="s">
        <v>1812</v>
      </c>
      <c r="D409" s="26" t="s">
        <v>1293</v>
      </c>
      <c r="E409" s="26" t="s">
        <v>1294</v>
      </c>
      <c r="F409" s="26" t="s">
        <v>1770</v>
      </c>
      <c r="G409" s="80">
        <v>2.81</v>
      </c>
    </row>
    <row r="410" spans="1:7" x14ac:dyDescent="0.25">
      <c r="A410" s="26" t="str">
        <f t="shared" si="9"/>
        <v>LMD14A_SWHST_BYERS</v>
      </c>
      <c r="B410" s="26" t="s">
        <v>1674</v>
      </c>
      <c r="C410" s="26" t="s">
        <v>1812</v>
      </c>
      <c r="D410" s="26" t="s">
        <v>1293</v>
      </c>
      <c r="E410" s="26" t="s">
        <v>1294</v>
      </c>
      <c r="F410" s="26" t="s">
        <v>1770</v>
      </c>
      <c r="G410" s="80">
        <v>0.53</v>
      </c>
    </row>
    <row r="411" spans="1:7" x14ac:dyDescent="0.25">
      <c r="A411" s="26" t="str">
        <f t="shared" si="9"/>
        <v>MSC00A_SWHST_BYERS</v>
      </c>
      <c r="B411" s="26" t="s">
        <v>1676</v>
      </c>
      <c r="C411" s="26" t="s">
        <v>1812</v>
      </c>
      <c r="D411" s="26" t="s">
        <v>1293</v>
      </c>
      <c r="E411" s="26" t="s">
        <v>1294</v>
      </c>
      <c r="F411" s="26" t="s">
        <v>1770</v>
      </c>
      <c r="G411" s="80">
        <v>0.01</v>
      </c>
    </row>
    <row r="412" spans="1:7" x14ac:dyDescent="0.25">
      <c r="A412" s="26" t="str">
        <f t="shared" si="9"/>
        <v>MSC02A_SWHST_BYERS</v>
      </c>
      <c r="B412" s="26" t="s">
        <v>1678</v>
      </c>
      <c r="C412" s="26" t="s">
        <v>1812</v>
      </c>
      <c r="D412" s="26" t="s">
        <v>1293</v>
      </c>
      <c r="E412" s="26" t="s">
        <v>1294</v>
      </c>
      <c r="F412" s="26" t="s">
        <v>1770</v>
      </c>
      <c r="G412" s="80">
        <v>0.01</v>
      </c>
    </row>
    <row r="413" spans="1:7" x14ac:dyDescent="0.25">
      <c r="A413" s="26" t="str">
        <f t="shared" si="9"/>
        <v>HLB00A_SWHST_BYERS</v>
      </c>
      <c r="B413" s="26" t="s">
        <v>1680</v>
      </c>
      <c r="C413" s="26" t="s">
        <v>1812</v>
      </c>
      <c r="D413" s="26" t="s">
        <v>1293</v>
      </c>
      <c r="E413" s="26" t="s">
        <v>1294</v>
      </c>
      <c r="F413" s="26" t="s">
        <v>1770</v>
      </c>
      <c r="G413" s="80">
        <v>0.52</v>
      </c>
    </row>
    <row r="414" spans="1:7" x14ac:dyDescent="0.25">
      <c r="A414" s="26" t="str">
        <f t="shared" si="9"/>
        <v>HLB02A_SWHST_BYERS</v>
      </c>
      <c r="B414" s="26" t="s">
        <v>1685</v>
      </c>
      <c r="C414" s="26" t="s">
        <v>1812</v>
      </c>
      <c r="D414" s="26" t="s">
        <v>1293</v>
      </c>
      <c r="E414" s="26" t="s">
        <v>1294</v>
      </c>
      <c r="F414" s="26" t="s">
        <v>1770</v>
      </c>
      <c r="G414" s="80">
        <v>0.46</v>
      </c>
    </row>
    <row r="415" spans="1:7" x14ac:dyDescent="0.25">
      <c r="A415" s="26" t="str">
        <f t="shared" si="9"/>
        <v>HLB04A_SWHST_BYERS</v>
      </c>
      <c r="B415" s="26" t="s">
        <v>1689</v>
      </c>
      <c r="C415" s="26" t="s">
        <v>1812</v>
      </c>
      <c r="D415" s="26" t="s">
        <v>1293</v>
      </c>
      <c r="E415" s="26" t="s">
        <v>1294</v>
      </c>
      <c r="F415" s="26" t="s">
        <v>1770</v>
      </c>
      <c r="G415" s="80">
        <v>0.32</v>
      </c>
    </row>
    <row r="416" spans="1:7" x14ac:dyDescent="0.25">
      <c r="A416" s="26" t="str">
        <f t="shared" si="9"/>
        <v>HLB06A_SWHST_BYERS</v>
      </c>
      <c r="B416" s="26" t="s">
        <v>1693</v>
      </c>
      <c r="C416" s="26" t="s">
        <v>1812</v>
      </c>
      <c r="D416" s="26" t="s">
        <v>1293</v>
      </c>
      <c r="E416" s="26" t="s">
        <v>1294</v>
      </c>
      <c r="F416" s="26" t="s">
        <v>1770</v>
      </c>
      <c r="G416" s="80">
        <v>1.08</v>
      </c>
    </row>
    <row r="417" spans="1:7" x14ac:dyDescent="0.25">
      <c r="A417" s="26" t="str">
        <f t="shared" si="9"/>
        <v>HLB08A_SWHST_BYERS</v>
      </c>
      <c r="B417" s="26" t="s">
        <v>1697</v>
      </c>
      <c r="C417" s="26" t="s">
        <v>1812</v>
      </c>
      <c r="D417" s="26" t="s">
        <v>1293</v>
      </c>
      <c r="E417" s="26" t="s">
        <v>1294</v>
      </c>
      <c r="F417" s="26" t="s">
        <v>1770</v>
      </c>
      <c r="G417" s="80">
        <v>1.18</v>
      </c>
    </row>
    <row r="418" spans="1:7" x14ac:dyDescent="0.25">
      <c r="A418" s="26" t="str">
        <f t="shared" si="9"/>
        <v>HLB12A_SWHST_BYERS</v>
      </c>
      <c r="B418" s="26" t="s">
        <v>1701</v>
      </c>
      <c r="C418" s="26" t="s">
        <v>1812</v>
      </c>
      <c r="D418" s="26" t="s">
        <v>1293</v>
      </c>
      <c r="E418" s="26" t="s">
        <v>1294</v>
      </c>
      <c r="F418" s="26" t="s">
        <v>1770</v>
      </c>
      <c r="G418" s="80">
        <v>0.4</v>
      </c>
    </row>
    <row r="419" spans="1:7" x14ac:dyDescent="0.25">
      <c r="A419" s="26" t="str">
        <f t="shared" si="9"/>
        <v>HLB14A_SWHST_BYERS</v>
      </c>
      <c r="B419" s="26" t="s">
        <v>1705</v>
      </c>
      <c r="C419" s="26" t="s">
        <v>1812</v>
      </c>
      <c r="D419" s="26" t="s">
        <v>1293</v>
      </c>
      <c r="E419" s="26" t="s">
        <v>1294</v>
      </c>
      <c r="F419" s="26" t="s">
        <v>1770</v>
      </c>
      <c r="G419" s="80">
        <v>1.18</v>
      </c>
    </row>
    <row r="420" spans="1:7" x14ac:dyDescent="0.25">
      <c r="A420" s="26" t="str">
        <f t="shared" si="9"/>
        <v>HLB16A_SWHST_BYERS</v>
      </c>
      <c r="B420" s="26" t="s">
        <v>1709</v>
      </c>
      <c r="C420" s="26" t="s">
        <v>1812</v>
      </c>
      <c r="D420" s="26" t="s">
        <v>1293</v>
      </c>
      <c r="E420" s="26" t="s">
        <v>1294</v>
      </c>
      <c r="F420" s="26" t="s">
        <v>1770</v>
      </c>
      <c r="G420" s="80">
        <v>1.63</v>
      </c>
    </row>
    <row r="421" spans="1:7" x14ac:dyDescent="0.25">
      <c r="A421" s="26" t="str">
        <f t="shared" si="9"/>
        <v>HLB18A_SWHST_BYERS</v>
      </c>
      <c r="B421" s="26" t="s">
        <v>1713</v>
      </c>
      <c r="C421" s="26" t="s">
        <v>1812</v>
      </c>
      <c r="D421" s="26" t="s">
        <v>1293</v>
      </c>
      <c r="E421" s="26" t="s">
        <v>1294</v>
      </c>
      <c r="F421" s="26" t="s">
        <v>1770</v>
      </c>
      <c r="G421" s="80">
        <v>1.28</v>
      </c>
    </row>
    <row r="422" spans="1:7" x14ac:dyDescent="0.25">
      <c r="A422" s="26" t="str">
        <f t="shared" si="9"/>
        <v>ESU00A_SEHST_BYERS</v>
      </c>
      <c r="B422" s="26" t="s">
        <v>1378</v>
      </c>
      <c r="C422" s="26" t="s">
        <v>1814</v>
      </c>
      <c r="D422" s="26" t="s">
        <v>1293</v>
      </c>
      <c r="E422" s="26" t="s">
        <v>1294</v>
      </c>
      <c r="F422" s="26" t="s">
        <v>1770</v>
      </c>
      <c r="G422" s="80">
        <v>486</v>
      </c>
    </row>
    <row r="423" spans="1:7" x14ac:dyDescent="0.25">
      <c r="A423" s="26" t="str">
        <f t="shared" si="9"/>
        <v>ERE00A_SEHST_BYERS</v>
      </c>
      <c r="B423" s="26" t="s">
        <v>1381</v>
      </c>
      <c r="C423" s="26" t="s">
        <v>1814</v>
      </c>
      <c r="D423" s="26" t="s">
        <v>1293</v>
      </c>
      <c r="E423" s="26" t="s">
        <v>1294</v>
      </c>
      <c r="F423" s="26" t="s">
        <v>1770</v>
      </c>
      <c r="G423" s="80">
        <v>75.599999999999994</v>
      </c>
    </row>
    <row r="424" spans="1:7" x14ac:dyDescent="0.25">
      <c r="A424" s="26" t="str">
        <f t="shared" si="9"/>
        <v>ACE00A_SEHST_BYERS</v>
      </c>
      <c r="B424" s="26" t="s">
        <v>1384</v>
      </c>
      <c r="C424" s="26" t="s">
        <v>1814</v>
      </c>
      <c r="D424" s="26" t="s">
        <v>1293</v>
      </c>
      <c r="E424" s="26" t="s">
        <v>1294</v>
      </c>
      <c r="F424" s="26" t="s">
        <v>1770</v>
      </c>
      <c r="G424" s="79" t="s">
        <v>1805</v>
      </c>
    </row>
    <row r="425" spans="1:7" x14ac:dyDescent="0.25">
      <c r="A425" s="26" t="str">
        <f t="shared" si="9"/>
        <v>ACE02A_SEHST_BYERS</v>
      </c>
      <c r="B425" s="26" t="s">
        <v>1387</v>
      </c>
      <c r="C425" s="26" t="s">
        <v>1814</v>
      </c>
      <c r="D425" s="26" t="s">
        <v>1293</v>
      </c>
      <c r="E425" s="26" t="s">
        <v>1294</v>
      </c>
      <c r="F425" s="26" t="s">
        <v>1770</v>
      </c>
      <c r="G425" s="79" t="s">
        <v>1805</v>
      </c>
    </row>
    <row r="426" spans="1:7" x14ac:dyDescent="0.25">
      <c r="A426" s="26" t="str">
        <f t="shared" si="9"/>
        <v>ACE04A_SEHST_BYERS</v>
      </c>
      <c r="B426" s="26" t="s">
        <v>1390</v>
      </c>
      <c r="C426" s="26" t="s">
        <v>1814</v>
      </c>
      <c r="D426" s="26" t="s">
        <v>1293</v>
      </c>
      <c r="E426" s="26" t="s">
        <v>1294</v>
      </c>
      <c r="F426" s="26" t="s">
        <v>1770</v>
      </c>
      <c r="G426" s="79" t="s">
        <v>1805</v>
      </c>
    </row>
    <row r="427" spans="1:7" x14ac:dyDescent="0.25">
      <c r="A427" s="26" t="str">
        <f t="shared" si="9"/>
        <v>ACA00A_SEHST_BYERS</v>
      </c>
      <c r="B427" s="26" t="s">
        <v>1392</v>
      </c>
      <c r="C427" s="26" t="s">
        <v>1814</v>
      </c>
      <c r="D427" s="26" t="s">
        <v>1293</v>
      </c>
      <c r="E427" s="26" t="s">
        <v>1294</v>
      </c>
      <c r="F427" s="26" t="s">
        <v>1770</v>
      </c>
      <c r="G427" s="80">
        <v>0.28000000000000003</v>
      </c>
    </row>
    <row r="428" spans="1:7" x14ac:dyDescent="0.25">
      <c r="A428" s="26" t="str">
        <f t="shared" si="9"/>
        <v>ACA02A_SEHST_BYERS</v>
      </c>
      <c r="B428" s="26" t="s">
        <v>1395</v>
      </c>
      <c r="C428" s="26" t="s">
        <v>1814</v>
      </c>
      <c r="D428" s="26" t="s">
        <v>1293</v>
      </c>
      <c r="E428" s="26" t="s">
        <v>1294</v>
      </c>
      <c r="F428" s="26" t="s">
        <v>1770</v>
      </c>
      <c r="G428" s="80">
        <v>0.24</v>
      </c>
    </row>
    <row r="429" spans="1:7" x14ac:dyDescent="0.25">
      <c r="A429" s="26" t="str">
        <f t="shared" si="9"/>
        <v>ACA04A_SEHST_BYERS</v>
      </c>
      <c r="B429" s="26" t="s">
        <v>1397</v>
      </c>
      <c r="C429" s="26" t="s">
        <v>1814</v>
      </c>
      <c r="D429" s="26" t="s">
        <v>1293</v>
      </c>
      <c r="E429" s="26" t="s">
        <v>1294</v>
      </c>
      <c r="F429" s="26" t="s">
        <v>1770</v>
      </c>
      <c r="G429" s="80">
        <v>0.15</v>
      </c>
    </row>
    <row r="430" spans="1:7" x14ac:dyDescent="0.25">
      <c r="A430" s="26" t="str">
        <f t="shared" si="9"/>
        <v>ACA06A_SEHST_BYERS</v>
      </c>
      <c r="B430" s="26" t="s">
        <v>1399</v>
      </c>
      <c r="C430" s="26" t="s">
        <v>1814</v>
      </c>
      <c r="D430" s="26" t="s">
        <v>1293</v>
      </c>
      <c r="E430" s="26" t="s">
        <v>1294</v>
      </c>
      <c r="F430" s="26" t="s">
        <v>1770</v>
      </c>
      <c r="G430" s="80">
        <v>0.13</v>
      </c>
    </row>
    <row r="431" spans="1:7" x14ac:dyDescent="0.25">
      <c r="A431" s="26" t="str">
        <f t="shared" si="9"/>
        <v>ACA08A_SEHST_BYERS</v>
      </c>
      <c r="B431" s="26" t="s">
        <v>1401</v>
      </c>
      <c r="C431" s="26" t="s">
        <v>1814</v>
      </c>
      <c r="D431" s="26" t="s">
        <v>1293</v>
      </c>
      <c r="E431" s="26" t="s">
        <v>1294</v>
      </c>
      <c r="F431" s="26" t="s">
        <v>1770</v>
      </c>
      <c r="G431" s="80">
        <v>0.19</v>
      </c>
    </row>
    <row r="432" spans="1:7" x14ac:dyDescent="0.25">
      <c r="A432" s="26" t="str">
        <f t="shared" si="9"/>
        <v>ACA10A_SEHST_BYERS</v>
      </c>
      <c r="B432" s="26" t="s">
        <v>1403</v>
      </c>
      <c r="C432" s="26" t="s">
        <v>1814</v>
      </c>
      <c r="D432" s="26" t="s">
        <v>1293</v>
      </c>
      <c r="E432" s="26" t="s">
        <v>1294</v>
      </c>
      <c r="F432" s="26" t="s">
        <v>1770</v>
      </c>
      <c r="G432" s="80">
        <v>0.41</v>
      </c>
    </row>
    <row r="433" spans="1:7" x14ac:dyDescent="0.25">
      <c r="A433" s="26" t="str">
        <f t="shared" si="9"/>
        <v>ACA12A_SEHST_BYERS</v>
      </c>
      <c r="B433" s="26" t="s">
        <v>1404</v>
      </c>
      <c r="C433" s="26" t="s">
        <v>1814</v>
      </c>
      <c r="D433" s="26" t="s">
        <v>1293</v>
      </c>
      <c r="E433" s="26" t="s">
        <v>1294</v>
      </c>
      <c r="F433" s="26" t="s">
        <v>1770</v>
      </c>
      <c r="G433" s="80">
        <v>0.37</v>
      </c>
    </row>
    <row r="434" spans="1:7" x14ac:dyDescent="0.25">
      <c r="A434" s="26" t="str">
        <f t="shared" si="9"/>
        <v>ACA14A_SEHST_BYERS</v>
      </c>
      <c r="B434" s="26" t="s">
        <v>1776</v>
      </c>
      <c r="C434" s="26" t="s">
        <v>1814</v>
      </c>
      <c r="D434" s="26" t="s">
        <v>1293</v>
      </c>
      <c r="E434" s="26" t="s">
        <v>1294</v>
      </c>
      <c r="F434" s="26" t="s">
        <v>1770</v>
      </c>
      <c r="G434" s="80">
        <v>19.670000000000002</v>
      </c>
    </row>
    <row r="435" spans="1:7" x14ac:dyDescent="0.25">
      <c r="A435" s="26" t="str">
        <f t="shared" si="9"/>
        <v>ACA16A_SEHST_BYERS</v>
      </c>
      <c r="B435" s="26" t="s">
        <v>1777</v>
      </c>
      <c r="C435" s="26" t="s">
        <v>1814</v>
      </c>
      <c r="D435" s="26" t="s">
        <v>1293</v>
      </c>
      <c r="E435" s="26" t="s">
        <v>1294</v>
      </c>
      <c r="F435" s="26" t="s">
        <v>1770</v>
      </c>
      <c r="G435" s="80">
        <v>7.87</v>
      </c>
    </row>
    <row r="436" spans="1:7" x14ac:dyDescent="0.25">
      <c r="A436" s="26" t="str">
        <f t="shared" si="9"/>
        <v>AMH00A_SEHST_BYERS</v>
      </c>
      <c r="B436" s="26" t="s">
        <v>1405</v>
      </c>
      <c r="C436" s="26" t="s">
        <v>1814</v>
      </c>
      <c r="D436" s="26" t="s">
        <v>1293</v>
      </c>
      <c r="E436" s="26" t="s">
        <v>1294</v>
      </c>
      <c r="F436" s="26" t="s">
        <v>1770</v>
      </c>
      <c r="G436" s="80">
        <v>183.02</v>
      </c>
    </row>
    <row r="437" spans="1:7" x14ac:dyDescent="0.25">
      <c r="A437" s="26" t="str">
        <f t="shared" si="9"/>
        <v>AMH02A_SEHST_BYERS</v>
      </c>
      <c r="B437" s="26" t="s">
        <v>1408</v>
      </c>
      <c r="C437" s="26" t="s">
        <v>1814</v>
      </c>
      <c r="D437" s="26" t="s">
        <v>1293</v>
      </c>
      <c r="E437" s="26" t="s">
        <v>1294</v>
      </c>
      <c r="F437" s="26" t="s">
        <v>1770</v>
      </c>
      <c r="G437" s="80">
        <v>338.44</v>
      </c>
    </row>
    <row r="438" spans="1:7" x14ac:dyDescent="0.25">
      <c r="A438" s="26" t="str">
        <f t="shared" si="9"/>
        <v>AMH04A_SEHST_BYERS</v>
      </c>
      <c r="B438" s="26" t="s">
        <v>1410</v>
      </c>
      <c r="C438" s="26" t="s">
        <v>1814</v>
      </c>
      <c r="D438" s="26" t="s">
        <v>1293</v>
      </c>
      <c r="E438" s="26" t="s">
        <v>1294</v>
      </c>
      <c r="F438" s="26" t="s">
        <v>1770</v>
      </c>
      <c r="G438" s="80">
        <v>0.39</v>
      </c>
    </row>
    <row r="439" spans="1:7" x14ac:dyDescent="0.25">
      <c r="A439" s="26" t="str">
        <f t="shared" si="9"/>
        <v>AMH06A_SEHST_BYERS</v>
      </c>
      <c r="B439" s="26" t="s">
        <v>1413</v>
      </c>
      <c r="C439" s="26" t="s">
        <v>1814</v>
      </c>
      <c r="D439" s="26" t="s">
        <v>1293</v>
      </c>
      <c r="E439" s="26" t="s">
        <v>1294</v>
      </c>
      <c r="F439" s="26" t="s">
        <v>1770</v>
      </c>
      <c r="G439" s="80">
        <v>0.21</v>
      </c>
    </row>
    <row r="440" spans="1:7" x14ac:dyDescent="0.25">
      <c r="A440" s="26" t="str">
        <f t="shared" si="9"/>
        <v>AMH08A_SEHST_BYERS</v>
      </c>
      <c r="B440" s="26" t="s">
        <v>1416</v>
      </c>
      <c r="C440" s="26" t="s">
        <v>1814</v>
      </c>
      <c r="D440" s="26" t="s">
        <v>1293</v>
      </c>
      <c r="E440" s="26" t="s">
        <v>1294</v>
      </c>
      <c r="F440" s="26" t="s">
        <v>1770</v>
      </c>
      <c r="G440" s="80">
        <v>0.79</v>
      </c>
    </row>
    <row r="441" spans="1:7" x14ac:dyDescent="0.25">
      <c r="A441" s="26" t="str">
        <f t="shared" si="9"/>
        <v>AMH10A_SEHST_BYERS</v>
      </c>
      <c r="B441" s="26" t="s">
        <v>1419</v>
      </c>
      <c r="C441" s="26" t="s">
        <v>1814</v>
      </c>
      <c r="D441" s="26" t="s">
        <v>1293</v>
      </c>
      <c r="E441" s="26" t="s">
        <v>1294</v>
      </c>
      <c r="F441" s="26" t="s">
        <v>1770</v>
      </c>
      <c r="G441" s="80">
        <v>0.18</v>
      </c>
    </row>
    <row r="442" spans="1:7" x14ac:dyDescent="0.25">
      <c r="A442" s="26" t="str">
        <f t="shared" si="9"/>
        <v>AMH12A_SEHST_BYERS</v>
      </c>
      <c r="B442" s="26" t="s">
        <v>1421</v>
      </c>
      <c r="C442" s="26" t="s">
        <v>1814</v>
      </c>
      <c r="D442" s="26" t="s">
        <v>1293</v>
      </c>
      <c r="E442" s="26" t="s">
        <v>1294</v>
      </c>
      <c r="F442" s="26" t="s">
        <v>1770</v>
      </c>
      <c r="G442" s="80">
        <v>909.47</v>
      </c>
    </row>
    <row r="443" spans="1:7" x14ac:dyDescent="0.25">
      <c r="A443" s="26" t="str">
        <f t="shared" si="9"/>
        <v>AMH14A_SEHST_BYERS</v>
      </c>
      <c r="B443" s="26" t="s">
        <v>1424</v>
      </c>
      <c r="C443" s="26" t="s">
        <v>1814</v>
      </c>
      <c r="D443" s="26" t="s">
        <v>1293</v>
      </c>
      <c r="E443" s="26" t="s">
        <v>1294</v>
      </c>
      <c r="F443" s="26" t="s">
        <v>1770</v>
      </c>
      <c r="G443" s="80">
        <v>296.45999999999998</v>
      </c>
    </row>
    <row r="444" spans="1:7" x14ac:dyDescent="0.25">
      <c r="A444" s="26" t="str">
        <f t="shared" si="9"/>
        <v>AMH16A_SEHST_BYERS</v>
      </c>
      <c r="B444" s="26" t="s">
        <v>1426</v>
      </c>
      <c r="C444" s="26" t="s">
        <v>1814</v>
      </c>
      <c r="D444" s="26" t="s">
        <v>1293</v>
      </c>
      <c r="E444" s="26" t="s">
        <v>1294</v>
      </c>
      <c r="F444" s="26" t="s">
        <v>1770</v>
      </c>
      <c r="G444" s="80">
        <v>60.61</v>
      </c>
    </row>
    <row r="445" spans="1:7" x14ac:dyDescent="0.25">
      <c r="A445" s="26" t="str">
        <f t="shared" si="9"/>
        <v>APO00A_SEHST_BYERS</v>
      </c>
      <c r="B445" s="26" t="s">
        <v>1428</v>
      </c>
      <c r="C445" s="26" t="s">
        <v>1814</v>
      </c>
      <c r="D445" s="26" t="s">
        <v>1293</v>
      </c>
      <c r="E445" s="26" t="s">
        <v>1294</v>
      </c>
      <c r="F445" s="26" t="s">
        <v>1770</v>
      </c>
      <c r="G445" s="80">
        <v>64.41</v>
      </c>
    </row>
    <row r="446" spans="1:7" x14ac:dyDescent="0.25">
      <c r="A446" s="26" t="str">
        <f t="shared" si="9"/>
        <v>APO02A_SEHST_BYERS</v>
      </c>
      <c r="B446" s="26" t="s">
        <v>1430</v>
      </c>
      <c r="C446" s="26" t="s">
        <v>1814</v>
      </c>
      <c r="D446" s="26" t="s">
        <v>1293</v>
      </c>
      <c r="E446" s="26" t="s">
        <v>1294</v>
      </c>
      <c r="F446" s="26" t="s">
        <v>1770</v>
      </c>
      <c r="G446" s="80">
        <v>3.29</v>
      </c>
    </row>
    <row r="447" spans="1:7" x14ac:dyDescent="0.25">
      <c r="A447" s="26" t="str">
        <f t="shared" si="9"/>
        <v>ARD00A_SEHST_BYERS</v>
      </c>
      <c r="B447" s="26" t="s">
        <v>1432</v>
      </c>
      <c r="C447" s="26" t="s">
        <v>1814</v>
      </c>
      <c r="D447" s="26" t="s">
        <v>1293</v>
      </c>
      <c r="E447" s="26" t="s">
        <v>1294</v>
      </c>
      <c r="F447" s="26" t="s">
        <v>1770</v>
      </c>
      <c r="G447" s="80">
        <v>0.11</v>
      </c>
    </row>
    <row r="448" spans="1:7" x14ac:dyDescent="0.25">
      <c r="A448" s="26" t="str">
        <f t="shared" si="9"/>
        <v>ARD02A_SEHST_BYERS</v>
      </c>
      <c r="B448" s="26" t="s">
        <v>1435</v>
      </c>
      <c r="C448" s="26" t="s">
        <v>1814</v>
      </c>
      <c r="D448" s="26" t="s">
        <v>1293</v>
      </c>
      <c r="E448" s="26" t="s">
        <v>1294</v>
      </c>
      <c r="F448" s="26" t="s">
        <v>1770</v>
      </c>
      <c r="G448" s="80">
        <v>294.57</v>
      </c>
    </row>
    <row r="449" spans="1:7" x14ac:dyDescent="0.25">
      <c r="A449" s="26" t="str">
        <f t="shared" si="9"/>
        <v>ASA00A_SEHST_BYERS</v>
      </c>
      <c r="B449" s="26" t="s">
        <v>1438</v>
      </c>
      <c r="C449" s="26" t="s">
        <v>1814</v>
      </c>
      <c r="D449" s="26" t="s">
        <v>1293</v>
      </c>
      <c r="E449" s="26" t="s">
        <v>1294</v>
      </c>
      <c r="F449" s="26" t="s">
        <v>1770</v>
      </c>
      <c r="G449" s="80">
        <v>263.52</v>
      </c>
    </row>
    <row r="450" spans="1:7" x14ac:dyDescent="0.25">
      <c r="A450" s="26" t="str">
        <f t="shared" si="9"/>
        <v>ASA02A_SEHST_BYERS</v>
      </c>
      <c r="B450" s="26" t="s">
        <v>1441</v>
      </c>
      <c r="C450" s="26" t="s">
        <v>1814</v>
      </c>
      <c r="D450" s="26" t="s">
        <v>1293</v>
      </c>
      <c r="E450" s="26" t="s">
        <v>1294</v>
      </c>
      <c r="F450" s="26" t="s">
        <v>1770</v>
      </c>
      <c r="G450" s="80">
        <v>197.64</v>
      </c>
    </row>
    <row r="451" spans="1:7" x14ac:dyDescent="0.25">
      <c r="A451" s="26" t="str">
        <f t="shared" ref="A451:A514" si="10">B451&amp;"_"&amp;C451&amp;"_"&amp;E451</f>
        <v>ASA04A_SEHST_BYERS</v>
      </c>
      <c r="B451" s="26" t="s">
        <v>1783</v>
      </c>
      <c r="C451" s="26" t="s">
        <v>1814</v>
      </c>
      <c r="D451" s="26" t="s">
        <v>1293</v>
      </c>
      <c r="E451" s="26" t="s">
        <v>1294</v>
      </c>
      <c r="F451" s="26" t="s">
        <v>1770</v>
      </c>
      <c r="G451" s="80">
        <v>197.64</v>
      </c>
    </row>
    <row r="452" spans="1:7" x14ac:dyDescent="0.25">
      <c r="A452" s="26" t="str">
        <f t="shared" si="10"/>
        <v>ASP00A_SEHST_BYERS</v>
      </c>
      <c r="B452" s="26" t="s">
        <v>1443</v>
      </c>
      <c r="C452" s="26" t="s">
        <v>1814</v>
      </c>
      <c r="D452" s="26" t="s">
        <v>1293</v>
      </c>
      <c r="E452" s="26" t="s">
        <v>1294</v>
      </c>
      <c r="F452" s="26" t="s">
        <v>1770</v>
      </c>
      <c r="G452" s="80">
        <v>49.41</v>
      </c>
    </row>
    <row r="453" spans="1:7" x14ac:dyDescent="0.25">
      <c r="A453" s="26" t="str">
        <f t="shared" si="10"/>
        <v>ASU00A_SEHST_BYERS</v>
      </c>
      <c r="B453" s="26" t="s">
        <v>1445</v>
      </c>
      <c r="C453" s="26" t="s">
        <v>1814</v>
      </c>
      <c r="D453" s="26" t="s">
        <v>1293</v>
      </c>
      <c r="E453" s="26" t="s">
        <v>1294</v>
      </c>
      <c r="F453" s="26" t="s">
        <v>1770</v>
      </c>
      <c r="G453" s="80">
        <v>23.06</v>
      </c>
    </row>
    <row r="454" spans="1:7" x14ac:dyDescent="0.25">
      <c r="A454" s="26" t="str">
        <f t="shared" si="10"/>
        <v>ASU02A_SEHST_BYERS</v>
      </c>
      <c r="B454" s="26" t="s">
        <v>1448</v>
      </c>
      <c r="C454" s="26" t="s">
        <v>1814</v>
      </c>
      <c r="D454" s="26" t="s">
        <v>1293</v>
      </c>
      <c r="E454" s="26" t="s">
        <v>1294</v>
      </c>
      <c r="F454" s="26" t="s">
        <v>1770</v>
      </c>
      <c r="G454" s="80">
        <v>98.82</v>
      </c>
    </row>
    <row r="455" spans="1:7" x14ac:dyDescent="0.25">
      <c r="A455" s="26" t="str">
        <f t="shared" si="10"/>
        <v>ATE00A_SEHST_BYERS</v>
      </c>
      <c r="B455" s="26" t="s">
        <v>1451</v>
      </c>
      <c r="C455" s="26" t="s">
        <v>1814</v>
      </c>
      <c r="D455" s="26" t="s">
        <v>1293</v>
      </c>
      <c r="E455" s="26" t="s">
        <v>1294</v>
      </c>
      <c r="F455" s="26" t="s">
        <v>1770</v>
      </c>
      <c r="G455" s="80">
        <v>47.12</v>
      </c>
    </row>
    <row r="456" spans="1:7" x14ac:dyDescent="0.25">
      <c r="A456" s="26" t="str">
        <f t="shared" si="10"/>
        <v>ADL00A_SEHST_BYERS</v>
      </c>
      <c r="B456" s="26" t="s">
        <v>1454</v>
      </c>
      <c r="C456" s="26" t="s">
        <v>1814</v>
      </c>
      <c r="D456" s="26" t="s">
        <v>1293</v>
      </c>
      <c r="E456" s="26" t="s">
        <v>1294</v>
      </c>
      <c r="F456" s="26" t="s">
        <v>1770</v>
      </c>
      <c r="G456" s="80">
        <v>572.5</v>
      </c>
    </row>
    <row r="457" spans="1:7" x14ac:dyDescent="0.25">
      <c r="A457" s="26" t="str">
        <f t="shared" si="10"/>
        <v>ADL02A_SEHST_BYERS</v>
      </c>
      <c r="B457" s="26" t="s">
        <v>1457</v>
      </c>
      <c r="C457" s="26" t="s">
        <v>1814</v>
      </c>
      <c r="D457" s="26" t="s">
        <v>1293</v>
      </c>
      <c r="E457" s="26" t="s">
        <v>1294</v>
      </c>
      <c r="F457" s="26" t="s">
        <v>1770</v>
      </c>
      <c r="G457" s="80">
        <v>189.08</v>
      </c>
    </row>
    <row r="458" spans="1:7" x14ac:dyDescent="0.25">
      <c r="A458" s="26" t="str">
        <f t="shared" si="10"/>
        <v>ADL04A_SEHST_BYERS</v>
      </c>
      <c r="B458" s="26" t="s">
        <v>1459</v>
      </c>
      <c r="C458" s="26" t="s">
        <v>1814</v>
      </c>
      <c r="D458" s="26" t="s">
        <v>1293</v>
      </c>
      <c r="E458" s="26" t="s">
        <v>1294</v>
      </c>
      <c r="F458" s="26" t="s">
        <v>1770</v>
      </c>
      <c r="G458" s="80">
        <v>112</v>
      </c>
    </row>
    <row r="459" spans="1:7" x14ac:dyDescent="0.25">
      <c r="A459" s="26" t="str">
        <f t="shared" si="10"/>
        <v>ADL06A_SEHST_BYERS</v>
      </c>
      <c r="B459" s="26" t="s">
        <v>1461</v>
      </c>
      <c r="C459" s="26" t="s">
        <v>1814</v>
      </c>
      <c r="D459" s="26" t="s">
        <v>1293</v>
      </c>
      <c r="E459" s="26" t="s">
        <v>1294</v>
      </c>
      <c r="F459" s="26" t="s">
        <v>1770</v>
      </c>
      <c r="G459" s="80">
        <v>55.21</v>
      </c>
    </row>
    <row r="460" spans="1:7" x14ac:dyDescent="0.25">
      <c r="A460" s="26" t="str">
        <f t="shared" si="10"/>
        <v>ICP00A_SEHST_BYERS</v>
      </c>
      <c r="B460" s="26" t="s">
        <v>1463</v>
      </c>
      <c r="C460" s="26" t="s">
        <v>1814</v>
      </c>
      <c r="D460" s="26" t="s">
        <v>1293</v>
      </c>
      <c r="E460" s="26" t="s">
        <v>1294</v>
      </c>
      <c r="F460" s="26" t="s">
        <v>1770</v>
      </c>
      <c r="G460" s="80">
        <v>226.8</v>
      </c>
    </row>
    <row r="461" spans="1:7" x14ac:dyDescent="0.25">
      <c r="A461" s="26" t="str">
        <f t="shared" si="10"/>
        <v>ICP02A_SEHST_BYERS</v>
      </c>
      <c r="B461" s="26" t="s">
        <v>1465</v>
      </c>
      <c r="C461" s="26" t="s">
        <v>1814</v>
      </c>
      <c r="D461" s="26" t="s">
        <v>1293</v>
      </c>
      <c r="E461" s="26" t="s">
        <v>1294</v>
      </c>
      <c r="F461" s="26" t="s">
        <v>1770</v>
      </c>
      <c r="G461" s="80">
        <v>54.43</v>
      </c>
    </row>
    <row r="462" spans="1:7" x14ac:dyDescent="0.25">
      <c r="A462" s="26" t="str">
        <f t="shared" si="10"/>
        <v>ICP04A_SEHST_BYERS</v>
      </c>
      <c r="B462" s="26" t="s">
        <v>1467</v>
      </c>
      <c r="C462" s="26" t="s">
        <v>1814</v>
      </c>
      <c r="D462" s="26" t="s">
        <v>1293</v>
      </c>
      <c r="E462" s="26" t="s">
        <v>1294</v>
      </c>
      <c r="F462" s="26" t="s">
        <v>1770</v>
      </c>
      <c r="G462" s="80">
        <v>68.040000000000006</v>
      </c>
    </row>
    <row r="463" spans="1:7" x14ac:dyDescent="0.25">
      <c r="A463" s="26" t="str">
        <f t="shared" si="10"/>
        <v>ICP06A_SEHST_BYERS</v>
      </c>
      <c r="B463" s="26" t="s">
        <v>1469</v>
      </c>
      <c r="C463" s="26" t="s">
        <v>1814</v>
      </c>
      <c r="D463" s="26" t="s">
        <v>1293</v>
      </c>
      <c r="E463" s="26" t="s">
        <v>1294</v>
      </c>
      <c r="F463" s="26" t="s">
        <v>1770</v>
      </c>
      <c r="G463" s="80">
        <v>20.41</v>
      </c>
    </row>
    <row r="464" spans="1:7" x14ac:dyDescent="0.25">
      <c r="A464" s="26" t="str">
        <f t="shared" si="10"/>
        <v>ICP08A_SEHST_BYERS</v>
      </c>
      <c r="B464" s="26" t="s">
        <v>1784</v>
      </c>
      <c r="C464" s="26" t="s">
        <v>1814</v>
      </c>
      <c r="D464" s="26" t="s">
        <v>1293</v>
      </c>
      <c r="E464" s="26" t="s">
        <v>1294</v>
      </c>
      <c r="F464" s="26" t="s">
        <v>1770</v>
      </c>
      <c r="G464" s="80">
        <v>54.43</v>
      </c>
    </row>
    <row r="465" spans="1:7" x14ac:dyDescent="0.25">
      <c r="A465" s="26" t="str">
        <f t="shared" si="10"/>
        <v>ICP10A_SEHST_BYERS</v>
      </c>
      <c r="B465" s="26" t="s">
        <v>1785</v>
      </c>
      <c r="C465" s="26" t="s">
        <v>1814</v>
      </c>
      <c r="D465" s="26" t="s">
        <v>1293</v>
      </c>
      <c r="E465" s="26" t="s">
        <v>1294</v>
      </c>
      <c r="F465" s="26" t="s">
        <v>1770</v>
      </c>
      <c r="G465" s="80">
        <v>158.76</v>
      </c>
    </row>
    <row r="466" spans="1:7" x14ac:dyDescent="0.25">
      <c r="A466" s="26" t="str">
        <f t="shared" si="10"/>
        <v>ICP12A_SEHST_BYERS</v>
      </c>
      <c r="B466" s="26" t="s">
        <v>1786</v>
      </c>
      <c r="C466" s="26" t="s">
        <v>1814</v>
      </c>
      <c r="D466" s="26" t="s">
        <v>1293</v>
      </c>
      <c r="E466" s="26" t="s">
        <v>1294</v>
      </c>
      <c r="F466" s="26" t="s">
        <v>1770</v>
      </c>
      <c r="G466" s="80">
        <v>22.68</v>
      </c>
    </row>
    <row r="467" spans="1:7" x14ac:dyDescent="0.25">
      <c r="A467" s="26" t="str">
        <f t="shared" si="10"/>
        <v>IFI00A_SEHST_BYERS</v>
      </c>
      <c r="B467" s="26" t="s">
        <v>1471</v>
      </c>
      <c r="C467" s="26" t="s">
        <v>1814</v>
      </c>
      <c r="D467" s="26" t="s">
        <v>1293</v>
      </c>
      <c r="E467" s="26" t="s">
        <v>1294</v>
      </c>
      <c r="F467" s="26" t="s">
        <v>1770</v>
      </c>
      <c r="G467" s="80">
        <v>97.2</v>
      </c>
    </row>
    <row r="468" spans="1:7" x14ac:dyDescent="0.25">
      <c r="A468" s="26" t="str">
        <f t="shared" si="10"/>
        <v>IFI02A_SEHST_BYERS</v>
      </c>
      <c r="B468" s="26" t="s">
        <v>1474</v>
      </c>
      <c r="C468" s="26" t="s">
        <v>1814</v>
      </c>
      <c r="D468" s="26" t="s">
        <v>1293</v>
      </c>
      <c r="E468" s="26" t="s">
        <v>1294</v>
      </c>
      <c r="F468" s="26" t="s">
        <v>1770</v>
      </c>
      <c r="G468" s="80">
        <v>0.1</v>
      </c>
    </row>
    <row r="469" spans="1:7" x14ac:dyDescent="0.25">
      <c r="A469" s="26" t="str">
        <f t="shared" si="10"/>
        <v>IFI04A_SEHST_BYERS</v>
      </c>
      <c r="B469" s="26" t="s">
        <v>1477</v>
      </c>
      <c r="C469" s="26" t="s">
        <v>1814</v>
      </c>
      <c r="D469" s="26" t="s">
        <v>1293</v>
      </c>
      <c r="E469" s="26" t="s">
        <v>1294</v>
      </c>
      <c r="F469" s="26" t="s">
        <v>1770</v>
      </c>
      <c r="G469" s="80">
        <v>27.22</v>
      </c>
    </row>
    <row r="470" spans="1:7" x14ac:dyDescent="0.25">
      <c r="A470" s="26" t="str">
        <f t="shared" si="10"/>
        <v>IFI06A_SEHST_BYERS</v>
      </c>
      <c r="B470" s="26" t="s">
        <v>1479</v>
      </c>
      <c r="C470" s="26" t="s">
        <v>1814</v>
      </c>
      <c r="D470" s="26" t="s">
        <v>1293</v>
      </c>
      <c r="E470" s="26" t="s">
        <v>1294</v>
      </c>
      <c r="F470" s="26" t="s">
        <v>1770</v>
      </c>
      <c r="G470" s="80">
        <v>87.48</v>
      </c>
    </row>
    <row r="471" spans="1:7" x14ac:dyDescent="0.25">
      <c r="A471" s="26" t="str">
        <f t="shared" si="10"/>
        <v>IFI08A_SEHST_BYERS</v>
      </c>
      <c r="B471" s="26" t="s">
        <v>1481</v>
      </c>
      <c r="C471" s="26" t="s">
        <v>1814</v>
      </c>
      <c r="D471" s="26" t="s">
        <v>1293</v>
      </c>
      <c r="E471" s="26" t="s">
        <v>1294</v>
      </c>
      <c r="F471" s="26" t="s">
        <v>1770</v>
      </c>
      <c r="G471" s="80">
        <v>129.6</v>
      </c>
    </row>
    <row r="472" spans="1:7" x14ac:dyDescent="0.25">
      <c r="A472" s="26" t="str">
        <f t="shared" si="10"/>
        <v>IFI10A_SEHST_BYERS</v>
      </c>
      <c r="B472" s="26" t="s">
        <v>1483</v>
      </c>
      <c r="C472" s="26" t="s">
        <v>1814</v>
      </c>
      <c r="D472" s="26" t="s">
        <v>1293</v>
      </c>
      <c r="E472" s="26" t="s">
        <v>1294</v>
      </c>
      <c r="F472" s="26" t="s">
        <v>1770</v>
      </c>
      <c r="G472" s="80">
        <v>0.16</v>
      </c>
    </row>
    <row r="473" spans="1:7" x14ac:dyDescent="0.25">
      <c r="A473" s="26" t="str">
        <f t="shared" si="10"/>
        <v>IFI12A_SEHST_BYERS</v>
      </c>
      <c r="B473" s="26" t="s">
        <v>1485</v>
      </c>
      <c r="C473" s="26" t="s">
        <v>1814</v>
      </c>
      <c r="D473" s="26" t="s">
        <v>1293</v>
      </c>
      <c r="E473" s="26" t="s">
        <v>1294</v>
      </c>
      <c r="F473" s="26" t="s">
        <v>1770</v>
      </c>
      <c r="G473" s="80">
        <v>35.64</v>
      </c>
    </row>
    <row r="474" spans="1:7" x14ac:dyDescent="0.25">
      <c r="A474" s="26" t="str">
        <f t="shared" si="10"/>
        <v>IFI14A_SEHST_BYERS</v>
      </c>
      <c r="B474" s="26" t="s">
        <v>1487</v>
      </c>
      <c r="C474" s="26" t="s">
        <v>1814</v>
      </c>
      <c r="D474" s="26" t="s">
        <v>1293</v>
      </c>
      <c r="E474" s="26" t="s">
        <v>1294</v>
      </c>
      <c r="F474" s="26" t="s">
        <v>1770</v>
      </c>
      <c r="G474" s="80">
        <v>115.99</v>
      </c>
    </row>
    <row r="475" spans="1:7" x14ac:dyDescent="0.25">
      <c r="A475" s="26" t="str">
        <f t="shared" si="10"/>
        <v>IFI16A_SEHST_BYERS</v>
      </c>
      <c r="B475" s="26" t="s">
        <v>1790</v>
      </c>
      <c r="C475" s="26" t="s">
        <v>1814</v>
      </c>
      <c r="D475" s="26" t="s">
        <v>1293</v>
      </c>
      <c r="E475" s="26" t="s">
        <v>1294</v>
      </c>
      <c r="F475" s="26" t="s">
        <v>1770</v>
      </c>
      <c r="G475" s="80">
        <v>11.61</v>
      </c>
    </row>
    <row r="476" spans="1:7" x14ac:dyDescent="0.25">
      <c r="A476" s="26" t="str">
        <f t="shared" si="10"/>
        <v>IIN00A_SEHST_BYERS</v>
      </c>
      <c r="B476" s="26" t="s">
        <v>1489</v>
      </c>
      <c r="C476" s="26" t="s">
        <v>1814</v>
      </c>
      <c r="D476" s="26" t="s">
        <v>1293</v>
      </c>
      <c r="E476" s="26" t="s">
        <v>1294</v>
      </c>
      <c r="F476" s="26" t="s">
        <v>1770</v>
      </c>
      <c r="G476" s="80">
        <v>97.2</v>
      </c>
    </row>
    <row r="477" spans="1:7" x14ac:dyDescent="0.25">
      <c r="A477" s="26" t="str">
        <f t="shared" si="10"/>
        <v>IIN02A_SEHST_BYERS</v>
      </c>
      <c r="B477" s="26" t="s">
        <v>1492</v>
      </c>
      <c r="C477" s="26" t="s">
        <v>1814</v>
      </c>
      <c r="D477" s="26" t="s">
        <v>1293</v>
      </c>
      <c r="E477" s="26" t="s">
        <v>1294</v>
      </c>
      <c r="F477" s="26" t="s">
        <v>1770</v>
      </c>
      <c r="G477" s="80">
        <v>113.4</v>
      </c>
    </row>
    <row r="478" spans="1:7" x14ac:dyDescent="0.25">
      <c r="A478" s="26" t="str">
        <f t="shared" si="10"/>
        <v>IIN04A_SEHST_BYERS</v>
      </c>
      <c r="B478" s="26" t="s">
        <v>1495</v>
      </c>
      <c r="C478" s="26" t="s">
        <v>1814</v>
      </c>
      <c r="D478" s="26" t="s">
        <v>1293</v>
      </c>
      <c r="E478" s="26" t="s">
        <v>1294</v>
      </c>
      <c r="F478" s="26" t="s">
        <v>1770</v>
      </c>
      <c r="G478" s="80">
        <v>14.26</v>
      </c>
    </row>
    <row r="479" spans="1:7" x14ac:dyDescent="0.25">
      <c r="A479" s="26" t="str">
        <f t="shared" si="10"/>
        <v>IIN06A_SEHST_BYERS</v>
      </c>
      <c r="B479" s="26" t="s">
        <v>1497</v>
      </c>
      <c r="C479" s="26" t="s">
        <v>1814</v>
      </c>
      <c r="D479" s="26" t="s">
        <v>1293</v>
      </c>
      <c r="E479" s="26" t="s">
        <v>1294</v>
      </c>
      <c r="F479" s="26" t="s">
        <v>1770</v>
      </c>
      <c r="G479" s="80">
        <v>18.14</v>
      </c>
    </row>
    <row r="480" spans="1:7" x14ac:dyDescent="0.25">
      <c r="A480" s="26" t="str">
        <f t="shared" si="10"/>
        <v>IIN08A_SEHST_BYERS</v>
      </c>
      <c r="B480" s="26" t="s">
        <v>1499</v>
      </c>
      <c r="C480" s="26" t="s">
        <v>1814</v>
      </c>
      <c r="D480" s="26" t="s">
        <v>1293</v>
      </c>
      <c r="E480" s="26" t="s">
        <v>1294</v>
      </c>
      <c r="F480" s="26" t="s">
        <v>1770</v>
      </c>
      <c r="G480" s="80">
        <v>291.60000000000002</v>
      </c>
    </row>
    <row r="481" spans="1:7" x14ac:dyDescent="0.25">
      <c r="A481" s="26" t="str">
        <f t="shared" si="10"/>
        <v>IIN10A_SEHST_BYERS</v>
      </c>
      <c r="B481" s="26" t="s">
        <v>1792</v>
      </c>
      <c r="C481" s="26" t="s">
        <v>1814</v>
      </c>
      <c r="D481" s="26" t="s">
        <v>1293</v>
      </c>
      <c r="E481" s="26" t="s">
        <v>1294</v>
      </c>
      <c r="F481" s="26" t="s">
        <v>1770</v>
      </c>
      <c r="G481" s="79" t="s">
        <v>1805</v>
      </c>
    </row>
    <row r="482" spans="1:7" x14ac:dyDescent="0.25">
      <c r="A482" s="26" t="str">
        <f t="shared" si="10"/>
        <v>IIN12A_SEHST_BYERS</v>
      </c>
      <c r="B482" s="26" t="s">
        <v>1793</v>
      </c>
      <c r="C482" s="26" t="s">
        <v>1814</v>
      </c>
      <c r="D482" s="26" t="s">
        <v>1293</v>
      </c>
      <c r="E482" s="26" t="s">
        <v>1294</v>
      </c>
      <c r="F482" s="26" t="s">
        <v>1770</v>
      </c>
      <c r="G482" s="79" t="s">
        <v>1805</v>
      </c>
    </row>
    <row r="483" spans="1:7" x14ac:dyDescent="0.25">
      <c r="A483" s="26" t="str">
        <f t="shared" si="10"/>
        <v>IPO00A_SEHST_BYERS</v>
      </c>
      <c r="B483" s="26" t="s">
        <v>1500</v>
      </c>
      <c r="C483" s="26" t="s">
        <v>1814</v>
      </c>
      <c r="D483" s="26" t="s">
        <v>1293</v>
      </c>
      <c r="E483" s="26" t="s">
        <v>1294</v>
      </c>
      <c r="F483" s="26" t="s">
        <v>1770</v>
      </c>
      <c r="G483" s="80">
        <v>48.6</v>
      </c>
    </row>
    <row r="484" spans="1:7" x14ac:dyDescent="0.25">
      <c r="A484" s="26" t="str">
        <f t="shared" si="10"/>
        <v>IPO02A_SEHST_BYERS</v>
      </c>
      <c r="B484" s="26" t="s">
        <v>1502</v>
      </c>
      <c r="C484" s="26" t="s">
        <v>1814</v>
      </c>
      <c r="D484" s="26" t="s">
        <v>1293</v>
      </c>
      <c r="E484" s="26" t="s">
        <v>1294</v>
      </c>
      <c r="F484" s="26" t="s">
        <v>1770</v>
      </c>
      <c r="G484" s="80">
        <v>23.98</v>
      </c>
    </row>
    <row r="485" spans="1:7" x14ac:dyDescent="0.25">
      <c r="A485" s="26" t="str">
        <f t="shared" si="10"/>
        <v>IPO04A_SEHST_BYERS</v>
      </c>
      <c r="B485" s="26" t="s">
        <v>1504</v>
      </c>
      <c r="C485" s="26" t="s">
        <v>1814</v>
      </c>
      <c r="D485" s="26" t="s">
        <v>1293</v>
      </c>
      <c r="E485" s="26" t="s">
        <v>1294</v>
      </c>
      <c r="F485" s="26" t="s">
        <v>1770</v>
      </c>
      <c r="G485" s="80">
        <v>68.69</v>
      </c>
    </row>
    <row r="486" spans="1:7" x14ac:dyDescent="0.25">
      <c r="A486" s="26" t="str">
        <f t="shared" si="10"/>
        <v>IPO06A_SEHST_BYERS</v>
      </c>
      <c r="B486" s="26" t="s">
        <v>1506</v>
      </c>
      <c r="C486" s="26" t="s">
        <v>1814</v>
      </c>
      <c r="D486" s="26" t="s">
        <v>1293</v>
      </c>
      <c r="E486" s="26" t="s">
        <v>1294</v>
      </c>
      <c r="F486" s="26" t="s">
        <v>1770</v>
      </c>
      <c r="G486" s="80">
        <v>2.59</v>
      </c>
    </row>
    <row r="487" spans="1:7" x14ac:dyDescent="0.25">
      <c r="A487" s="26" t="str">
        <f t="shared" si="10"/>
        <v>IPO08A_SEHST_BYERS</v>
      </c>
      <c r="B487" s="26" t="s">
        <v>1509</v>
      </c>
      <c r="C487" s="26" t="s">
        <v>1814</v>
      </c>
      <c r="D487" s="26" t="s">
        <v>1293</v>
      </c>
      <c r="E487" s="26" t="s">
        <v>1294</v>
      </c>
      <c r="F487" s="26" t="s">
        <v>1770</v>
      </c>
      <c r="G487" s="80">
        <v>2.5299999999999998</v>
      </c>
    </row>
    <row r="488" spans="1:7" x14ac:dyDescent="0.25">
      <c r="A488" s="26" t="str">
        <f t="shared" si="10"/>
        <v>IPI00A_SEHST_BYERS</v>
      </c>
      <c r="B488" s="26" t="s">
        <v>1511</v>
      </c>
      <c r="C488" s="26" t="s">
        <v>1814</v>
      </c>
      <c r="D488" s="26" t="s">
        <v>1293</v>
      </c>
      <c r="E488" s="26" t="s">
        <v>1294</v>
      </c>
      <c r="F488" s="26" t="s">
        <v>1770</v>
      </c>
      <c r="G488" s="80">
        <v>3.08</v>
      </c>
    </row>
    <row r="489" spans="1:7" x14ac:dyDescent="0.25">
      <c r="A489" s="26" t="str">
        <f t="shared" si="10"/>
        <v>IPI02A_SEHST_BYERS</v>
      </c>
      <c r="B489" s="26" t="s">
        <v>1513</v>
      </c>
      <c r="C489" s="26" t="s">
        <v>1814</v>
      </c>
      <c r="D489" s="26" t="s">
        <v>1293</v>
      </c>
      <c r="E489" s="26" t="s">
        <v>1294</v>
      </c>
      <c r="F489" s="26" t="s">
        <v>1770</v>
      </c>
      <c r="G489" s="80">
        <v>6.16</v>
      </c>
    </row>
    <row r="490" spans="1:7" x14ac:dyDescent="0.25">
      <c r="A490" s="26" t="str">
        <f t="shared" si="10"/>
        <v>ISS00A_SEHST_BYERS</v>
      </c>
      <c r="B490" s="26" t="s">
        <v>1515</v>
      </c>
      <c r="C490" s="26" t="s">
        <v>1814</v>
      </c>
      <c r="D490" s="26" t="s">
        <v>1293</v>
      </c>
      <c r="E490" s="26" t="s">
        <v>1294</v>
      </c>
      <c r="F490" s="26" t="s">
        <v>1770</v>
      </c>
      <c r="G490" s="80">
        <v>27.22</v>
      </c>
    </row>
    <row r="491" spans="1:7" x14ac:dyDescent="0.25">
      <c r="A491" s="26" t="str">
        <f t="shared" si="10"/>
        <v>ISS02A_SEHST_BYERS</v>
      </c>
      <c r="B491" s="26" t="s">
        <v>1517</v>
      </c>
      <c r="C491" s="26" t="s">
        <v>1814</v>
      </c>
      <c r="D491" s="26" t="s">
        <v>1293</v>
      </c>
      <c r="E491" s="26" t="s">
        <v>1294</v>
      </c>
      <c r="F491" s="26" t="s">
        <v>1770</v>
      </c>
      <c r="G491" s="80">
        <v>66.099999999999994</v>
      </c>
    </row>
    <row r="492" spans="1:7" x14ac:dyDescent="0.25">
      <c r="A492" s="26" t="str">
        <f t="shared" si="10"/>
        <v>TPE00A_SEHST_BYERS</v>
      </c>
      <c r="B492" s="26" t="s">
        <v>1520</v>
      </c>
      <c r="C492" s="26" t="s">
        <v>1814</v>
      </c>
      <c r="D492" s="26" t="s">
        <v>1293</v>
      </c>
      <c r="E492" s="26" t="s">
        <v>1294</v>
      </c>
      <c r="F492" s="26" t="s">
        <v>1770</v>
      </c>
      <c r="G492" s="80">
        <v>65.290000000000006</v>
      </c>
    </row>
    <row r="493" spans="1:7" x14ac:dyDescent="0.25">
      <c r="A493" s="26" t="str">
        <f t="shared" si="10"/>
        <v>TPE02A_SEHST_BYERS</v>
      </c>
      <c r="B493" s="26" t="s">
        <v>1522</v>
      </c>
      <c r="C493" s="26" t="s">
        <v>1814</v>
      </c>
      <c r="D493" s="26" t="s">
        <v>1293</v>
      </c>
      <c r="E493" s="26" t="s">
        <v>1294</v>
      </c>
      <c r="F493" s="26" t="s">
        <v>1770</v>
      </c>
      <c r="G493" s="80">
        <v>87.89</v>
      </c>
    </row>
    <row r="494" spans="1:7" x14ac:dyDescent="0.25">
      <c r="A494" s="26" t="str">
        <f t="shared" si="10"/>
        <v>TPE04A_SEHST_BYERS</v>
      </c>
      <c r="B494" s="26" t="s">
        <v>1524</v>
      </c>
      <c r="C494" s="26" t="s">
        <v>1814</v>
      </c>
      <c r="D494" s="26" t="s">
        <v>1293</v>
      </c>
      <c r="E494" s="26" t="s">
        <v>1294</v>
      </c>
      <c r="F494" s="26" t="s">
        <v>1770</v>
      </c>
      <c r="G494" s="80">
        <v>0.73</v>
      </c>
    </row>
    <row r="495" spans="1:7" x14ac:dyDescent="0.25">
      <c r="A495" s="26" t="str">
        <f t="shared" si="10"/>
        <v>TPE06A_SEHST_BYERS</v>
      </c>
      <c r="B495" s="26" t="s">
        <v>1526</v>
      </c>
      <c r="C495" s="26" t="s">
        <v>1814</v>
      </c>
      <c r="D495" s="26" t="s">
        <v>1293</v>
      </c>
      <c r="E495" s="26" t="s">
        <v>1294</v>
      </c>
      <c r="F495" s="26" t="s">
        <v>1770</v>
      </c>
      <c r="G495" s="80">
        <v>0.47</v>
      </c>
    </row>
    <row r="496" spans="1:7" x14ac:dyDescent="0.25">
      <c r="A496" s="26" t="str">
        <f t="shared" si="10"/>
        <v>TCP00A_SEHST_BYERS</v>
      </c>
      <c r="B496" s="26" t="s">
        <v>1529</v>
      </c>
      <c r="C496" s="26" t="s">
        <v>1814</v>
      </c>
      <c r="D496" s="26" t="s">
        <v>1293</v>
      </c>
      <c r="E496" s="26" t="s">
        <v>1294</v>
      </c>
      <c r="F496" s="26" t="s">
        <v>1770</v>
      </c>
      <c r="G496" s="80">
        <v>95.42</v>
      </c>
    </row>
    <row r="497" spans="1:7" x14ac:dyDescent="0.25">
      <c r="A497" s="26" t="str">
        <f t="shared" si="10"/>
        <v>TOP00A_SEHST_BYERS</v>
      </c>
      <c r="B497" s="26" t="s">
        <v>1532</v>
      </c>
      <c r="C497" s="26" t="s">
        <v>1814</v>
      </c>
      <c r="D497" s="26" t="s">
        <v>1293</v>
      </c>
      <c r="E497" s="26" t="s">
        <v>1294</v>
      </c>
      <c r="F497" s="26" t="s">
        <v>1770</v>
      </c>
      <c r="G497" s="80">
        <v>141.62</v>
      </c>
    </row>
    <row r="498" spans="1:7" x14ac:dyDescent="0.25">
      <c r="A498" s="26" t="str">
        <f t="shared" si="10"/>
        <v>TOP02A_SEHST_BYERS</v>
      </c>
      <c r="B498" s="26" t="s">
        <v>1535</v>
      </c>
      <c r="C498" s="26" t="s">
        <v>1814</v>
      </c>
      <c r="D498" s="26" t="s">
        <v>1293</v>
      </c>
      <c r="E498" s="26" t="s">
        <v>1294</v>
      </c>
      <c r="F498" s="26" t="s">
        <v>1770</v>
      </c>
      <c r="G498" s="80">
        <v>57.75</v>
      </c>
    </row>
    <row r="499" spans="1:7" x14ac:dyDescent="0.25">
      <c r="A499" s="26" t="str">
        <f t="shared" si="10"/>
        <v>TOP04A_SEHST_BYERS</v>
      </c>
      <c r="B499" s="26" t="s">
        <v>1537</v>
      </c>
      <c r="C499" s="26" t="s">
        <v>1814</v>
      </c>
      <c r="D499" s="26" t="s">
        <v>1293</v>
      </c>
      <c r="E499" s="26" t="s">
        <v>1294</v>
      </c>
      <c r="F499" s="26" t="s">
        <v>1770</v>
      </c>
      <c r="G499" s="80">
        <v>36.159999999999997</v>
      </c>
    </row>
    <row r="500" spans="1:7" x14ac:dyDescent="0.25">
      <c r="A500" s="26" t="str">
        <f t="shared" si="10"/>
        <v>T0P06A_SEHST_BYERS</v>
      </c>
      <c r="B500" s="26" t="s">
        <v>1540</v>
      </c>
      <c r="C500" s="26" t="s">
        <v>1814</v>
      </c>
      <c r="D500" s="26" t="s">
        <v>1293</v>
      </c>
      <c r="E500" s="26" t="s">
        <v>1294</v>
      </c>
      <c r="F500" s="26" t="s">
        <v>1770</v>
      </c>
      <c r="G500" s="79" t="s">
        <v>1805</v>
      </c>
    </row>
    <row r="501" spans="1:7" x14ac:dyDescent="0.25">
      <c r="A501" s="26" t="str">
        <f t="shared" si="10"/>
        <v>TOP08A_SEHST_BYERS</v>
      </c>
      <c r="B501" s="26" t="s">
        <v>1542</v>
      </c>
      <c r="C501" s="26" t="s">
        <v>1814</v>
      </c>
      <c r="D501" s="26" t="s">
        <v>1293</v>
      </c>
      <c r="E501" s="26" t="s">
        <v>1294</v>
      </c>
      <c r="F501" s="26" t="s">
        <v>1770</v>
      </c>
      <c r="G501" s="80">
        <v>0.78</v>
      </c>
    </row>
    <row r="502" spans="1:7" x14ac:dyDescent="0.25">
      <c r="A502" s="26" t="str">
        <f t="shared" si="10"/>
        <v>TPS00A_SEHST_BYERS</v>
      </c>
      <c r="B502" s="26" t="s">
        <v>1544</v>
      </c>
      <c r="C502" s="26" t="s">
        <v>1814</v>
      </c>
      <c r="D502" s="26" t="s">
        <v>1293</v>
      </c>
      <c r="E502" s="26" t="s">
        <v>1294</v>
      </c>
      <c r="F502" s="26" t="s">
        <v>1770</v>
      </c>
      <c r="G502" s="80">
        <v>150.66</v>
      </c>
    </row>
    <row r="503" spans="1:7" x14ac:dyDescent="0.25">
      <c r="A503" s="26" t="str">
        <f t="shared" si="10"/>
        <v>DCA00A_SEHST_BYERS</v>
      </c>
      <c r="B503" s="26" t="s">
        <v>1574</v>
      </c>
      <c r="C503" s="26" t="s">
        <v>1814</v>
      </c>
      <c r="D503" s="26" t="s">
        <v>1293</v>
      </c>
      <c r="E503" s="26" t="s">
        <v>1294</v>
      </c>
      <c r="F503" s="26" t="s">
        <v>1770</v>
      </c>
      <c r="G503" s="80">
        <v>0.8</v>
      </c>
    </row>
    <row r="504" spans="1:7" x14ac:dyDescent="0.25">
      <c r="A504" s="26" t="str">
        <f t="shared" si="10"/>
        <v>DCA02A_SEHST_BYERS</v>
      </c>
      <c r="B504" s="26" t="s">
        <v>1576</v>
      </c>
      <c r="C504" s="26" t="s">
        <v>1814</v>
      </c>
      <c r="D504" s="26" t="s">
        <v>1293</v>
      </c>
      <c r="E504" s="26" t="s">
        <v>1294</v>
      </c>
      <c r="F504" s="26" t="s">
        <v>1770</v>
      </c>
      <c r="G504" s="80">
        <v>0</v>
      </c>
    </row>
    <row r="505" spans="1:7" x14ac:dyDescent="0.25">
      <c r="A505" s="26" t="str">
        <f t="shared" si="10"/>
        <v>DCA04A_SEHST_BYERS</v>
      </c>
      <c r="B505" s="26" t="s">
        <v>1578</v>
      </c>
      <c r="C505" s="26" t="s">
        <v>1814</v>
      </c>
      <c r="D505" s="26" t="s">
        <v>1293</v>
      </c>
      <c r="E505" s="26" t="s">
        <v>1294</v>
      </c>
      <c r="F505" s="26" t="s">
        <v>1770</v>
      </c>
      <c r="G505" s="80">
        <v>0.35</v>
      </c>
    </row>
    <row r="506" spans="1:7" x14ac:dyDescent="0.25">
      <c r="A506" s="26" t="str">
        <f t="shared" si="10"/>
        <v>DCA06A_SEHST_BYERS</v>
      </c>
      <c r="B506" s="26" t="s">
        <v>1580</v>
      </c>
      <c r="C506" s="26" t="s">
        <v>1814</v>
      </c>
      <c r="D506" s="26" t="s">
        <v>1293</v>
      </c>
      <c r="E506" s="26" t="s">
        <v>1294</v>
      </c>
      <c r="F506" s="26" t="s">
        <v>1770</v>
      </c>
      <c r="G506" s="80">
        <v>1.48</v>
      </c>
    </row>
    <row r="507" spans="1:7" x14ac:dyDescent="0.25">
      <c r="A507" s="26" t="str">
        <f t="shared" si="10"/>
        <v>DCA08A_SEHST_BYERS</v>
      </c>
      <c r="B507" s="26" t="s">
        <v>1582</v>
      </c>
      <c r="C507" s="26" t="s">
        <v>1814</v>
      </c>
      <c r="D507" s="26" t="s">
        <v>1293</v>
      </c>
      <c r="E507" s="26" t="s">
        <v>1294</v>
      </c>
      <c r="F507" s="26" t="s">
        <v>1770</v>
      </c>
      <c r="G507" s="80">
        <v>0</v>
      </c>
    </row>
    <row r="508" spans="1:7" x14ac:dyDescent="0.25">
      <c r="A508" s="26" t="str">
        <f t="shared" si="10"/>
        <v>DCA10A_SEHST_BYERS</v>
      </c>
      <c r="B508" s="26" t="s">
        <v>1584</v>
      </c>
      <c r="C508" s="26" t="s">
        <v>1814</v>
      </c>
      <c r="D508" s="26" t="s">
        <v>1293</v>
      </c>
      <c r="E508" s="26" t="s">
        <v>1294</v>
      </c>
      <c r="F508" s="26" t="s">
        <v>1770</v>
      </c>
      <c r="G508" s="80">
        <v>0</v>
      </c>
    </row>
    <row r="509" spans="1:7" x14ac:dyDescent="0.25">
      <c r="A509" s="26" t="str">
        <f t="shared" si="10"/>
        <v>DCA12A_SEHST_BYERS</v>
      </c>
      <c r="B509" s="26" t="s">
        <v>1586</v>
      </c>
      <c r="C509" s="26" t="s">
        <v>1814</v>
      </c>
      <c r="D509" s="26" t="s">
        <v>1293</v>
      </c>
      <c r="E509" s="26" t="s">
        <v>1294</v>
      </c>
      <c r="F509" s="26" t="s">
        <v>1770</v>
      </c>
      <c r="G509" s="80">
        <v>0</v>
      </c>
    </row>
    <row r="510" spans="1:7" x14ac:dyDescent="0.25">
      <c r="A510" s="26" t="str">
        <f t="shared" si="10"/>
        <v>DCA14A_SEHST_BYERS</v>
      </c>
      <c r="B510" s="26" t="s">
        <v>1588</v>
      </c>
      <c r="C510" s="26" t="s">
        <v>1814</v>
      </c>
      <c r="D510" s="26" t="s">
        <v>1293</v>
      </c>
      <c r="E510" s="26" t="s">
        <v>1294</v>
      </c>
      <c r="F510" s="26" t="s">
        <v>1770</v>
      </c>
      <c r="G510" s="80">
        <v>0.56000000000000005</v>
      </c>
    </row>
    <row r="511" spans="1:7" x14ac:dyDescent="0.25">
      <c r="A511" s="26" t="str">
        <f t="shared" si="10"/>
        <v>DCA16A_SEHST_BYERS</v>
      </c>
      <c r="B511" s="26" t="s">
        <v>1590</v>
      </c>
      <c r="C511" s="26" t="s">
        <v>1814</v>
      </c>
      <c r="D511" s="26" t="s">
        <v>1293</v>
      </c>
      <c r="E511" s="26" t="s">
        <v>1294</v>
      </c>
      <c r="F511" s="26" t="s">
        <v>1770</v>
      </c>
      <c r="G511" s="80">
        <v>2.17</v>
      </c>
    </row>
    <row r="512" spans="1:7" x14ac:dyDescent="0.25">
      <c r="A512" s="26" t="str">
        <f t="shared" si="10"/>
        <v>ODA00A_SEHST_BYERS</v>
      </c>
      <c r="B512" s="26" t="s">
        <v>1592</v>
      </c>
      <c r="C512" s="26" t="s">
        <v>1814</v>
      </c>
      <c r="D512" s="26" t="s">
        <v>1293</v>
      </c>
      <c r="E512" s="26" t="s">
        <v>1294</v>
      </c>
      <c r="F512" s="26" t="s">
        <v>1770</v>
      </c>
      <c r="G512" s="80">
        <v>3.73</v>
      </c>
    </row>
    <row r="513" spans="1:7" x14ac:dyDescent="0.25">
      <c r="A513" s="26" t="str">
        <f t="shared" si="10"/>
        <v>ODA02A_SEHST_BYERS</v>
      </c>
      <c r="B513" s="26" t="s">
        <v>1595</v>
      </c>
      <c r="C513" s="26" t="s">
        <v>1814</v>
      </c>
      <c r="D513" s="26" t="s">
        <v>1293</v>
      </c>
      <c r="E513" s="26" t="s">
        <v>1294</v>
      </c>
      <c r="F513" s="26" t="s">
        <v>1770</v>
      </c>
      <c r="G513" s="80">
        <v>0.81</v>
      </c>
    </row>
    <row r="514" spans="1:7" x14ac:dyDescent="0.25">
      <c r="A514" s="26" t="str">
        <f t="shared" si="10"/>
        <v>ODA04A_SEHST_BYERS</v>
      </c>
      <c r="B514" s="26" t="s">
        <v>1598</v>
      </c>
      <c r="C514" s="26" t="s">
        <v>1814</v>
      </c>
      <c r="D514" s="26" t="s">
        <v>1293</v>
      </c>
      <c r="E514" s="26" t="s">
        <v>1294</v>
      </c>
      <c r="F514" s="26" t="s">
        <v>1770</v>
      </c>
      <c r="G514" s="80">
        <v>0.05</v>
      </c>
    </row>
    <row r="515" spans="1:7" x14ac:dyDescent="0.25">
      <c r="A515" s="26" t="str">
        <f t="shared" ref="A515:A561" si="11">B515&amp;"_"&amp;C515&amp;"_"&amp;E515</f>
        <v>ODA06A_SEHST_BYERS</v>
      </c>
      <c r="B515" s="26" t="s">
        <v>1601</v>
      </c>
      <c r="C515" s="26" t="s">
        <v>1814</v>
      </c>
      <c r="D515" s="26" t="s">
        <v>1293</v>
      </c>
      <c r="E515" s="26" t="s">
        <v>1294</v>
      </c>
      <c r="F515" s="26" t="s">
        <v>1770</v>
      </c>
      <c r="G515" s="80">
        <v>0.01</v>
      </c>
    </row>
    <row r="516" spans="1:7" x14ac:dyDescent="0.25">
      <c r="A516" s="26" t="str">
        <f t="shared" si="11"/>
        <v>ODA08A_SEHST_BYERS</v>
      </c>
      <c r="B516" s="26" t="s">
        <v>1604</v>
      </c>
      <c r="C516" s="26" t="s">
        <v>1814</v>
      </c>
      <c r="D516" s="26" t="s">
        <v>1293</v>
      </c>
      <c r="E516" s="26" t="s">
        <v>1294</v>
      </c>
      <c r="F516" s="26" t="s">
        <v>1770</v>
      </c>
      <c r="G516" s="80">
        <v>0.01</v>
      </c>
    </row>
    <row r="517" spans="1:7" x14ac:dyDescent="0.25">
      <c r="A517" s="26" t="str">
        <f t="shared" si="11"/>
        <v>SAC00A_SEHST_BYERS</v>
      </c>
      <c r="B517" s="26" t="s">
        <v>1607</v>
      </c>
      <c r="C517" s="26" t="s">
        <v>1814</v>
      </c>
      <c r="D517" s="26" t="s">
        <v>1293</v>
      </c>
      <c r="E517" s="26" t="s">
        <v>1294</v>
      </c>
      <c r="F517" s="26" t="s">
        <v>1770</v>
      </c>
      <c r="G517" s="80">
        <v>1.97</v>
      </c>
    </row>
    <row r="518" spans="1:7" x14ac:dyDescent="0.25">
      <c r="A518" s="26" t="str">
        <f t="shared" si="11"/>
        <v>SAC02A_SEHST_BYERS</v>
      </c>
      <c r="B518" s="26" t="s">
        <v>1609</v>
      </c>
      <c r="C518" s="26" t="s">
        <v>1814</v>
      </c>
      <c r="D518" s="26" t="s">
        <v>1293</v>
      </c>
      <c r="E518" s="26" t="s">
        <v>1294</v>
      </c>
      <c r="F518" s="26" t="s">
        <v>1770</v>
      </c>
      <c r="G518" s="80">
        <v>1.53</v>
      </c>
    </row>
    <row r="519" spans="1:7" x14ac:dyDescent="0.25">
      <c r="A519" s="26" t="str">
        <f t="shared" si="11"/>
        <v>SAC04A_SEHST_BYERS</v>
      </c>
      <c r="B519" s="26" t="s">
        <v>1611</v>
      </c>
      <c r="C519" s="26" t="s">
        <v>1814</v>
      </c>
      <c r="D519" s="26" t="s">
        <v>1293</v>
      </c>
      <c r="E519" s="26" t="s">
        <v>1294</v>
      </c>
      <c r="F519" s="26" t="s">
        <v>1770</v>
      </c>
      <c r="G519" s="80">
        <v>0.38</v>
      </c>
    </row>
    <row r="520" spans="1:7" x14ac:dyDescent="0.25">
      <c r="A520" s="26" t="str">
        <f t="shared" si="11"/>
        <v>SAE00A_SEHST_BYERS</v>
      </c>
      <c r="B520" s="26" t="s">
        <v>1613</v>
      </c>
      <c r="C520" s="26" t="s">
        <v>1814</v>
      </c>
      <c r="D520" s="26" t="s">
        <v>1293</v>
      </c>
      <c r="E520" s="26" t="s">
        <v>1294</v>
      </c>
      <c r="F520" s="26" t="s">
        <v>1770</v>
      </c>
      <c r="G520" s="80">
        <v>0.41</v>
      </c>
    </row>
    <row r="521" spans="1:7" x14ac:dyDescent="0.25">
      <c r="A521" s="26" t="str">
        <f t="shared" si="11"/>
        <v>SAE02A_SEHST_BYERS</v>
      </c>
      <c r="B521" s="26" t="s">
        <v>1797</v>
      </c>
      <c r="C521" s="26" t="s">
        <v>1814</v>
      </c>
      <c r="D521" s="26" t="s">
        <v>1293</v>
      </c>
      <c r="E521" s="26" t="s">
        <v>1294</v>
      </c>
      <c r="F521" s="26" t="s">
        <v>1770</v>
      </c>
      <c r="G521" s="79" t="s">
        <v>1805</v>
      </c>
    </row>
    <row r="522" spans="1:7" x14ac:dyDescent="0.25">
      <c r="A522" s="26" t="str">
        <f t="shared" si="11"/>
        <v>SAE04A_SEHST_BYERS</v>
      </c>
      <c r="B522" s="26" t="s">
        <v>1798</v>
      </c>
      <c r="C522" s="26" t="s">
        <v>1814</v>
      </c>
      <c r="D522" s="26" t="s">
        <v>1293</v>
      </c>
      <c r="E522" s="26" t="s">
        <v>1294</v>
      </c>
      <c r="F522" s="26" t="s">
        <v>1770</v>
      </c>
      <c r="G522" s="79" t="s">
        <v>1805</v>
      </c>
    </row>
    <row r="523" spans="1:7" x14ac:dyDescent="0.25">
      <c r="A523" s="26" t="str">
        <f t="shared" si="11"/>
        <v>SUG00A_SEHST_BYERS</v>
      </c>
      <c r="B523" s="26" t="s">
        <v>1615</v>
      </c>
      <c r="C523" s="26" t="s">
        <v>1814</v>
      </c>
      <c r="D523" s="26" t="s">
        <v>1293</v>
      </c>
      <c r="E523" s="26" t="s">
        <v>1294</v>
      </c>
      <c r="F523" s="26" t="s">
        <v>1770</v>
      </c>
      <c r="G523" s="80">
        <v>2.84</v>
      </c>
    </row>
    <row r="524" spans="1:7" x14ac:dyDescent="0.25">
      <c r="A524" s="26" t="str">
        <f t="shared" si="11"/>
        <v>SUG02A_SEHST_BYERS</v>
      </c>
      <c r="B524" s="26" t="s">
        <v>1617</v>
      </c>
      <c r="C524" s="26" t="s">
        <v>1814</v>
      </c>
      <c r="D524" s="26" t="s">
        <v>1293</v>
      </c>
      <c r="E524" s="26" t="s">
        <v>1294</v>
      </c>
      <c r="F524" s="26" t="s">
        <v>1770</v>
      </c>
      <c r="G524" s="80">
        <v>0.28000000000000003</v>
      </c>
    </row>
    <row r="525" spans="1:7" x14ac:dyDescent="0.25">
      <c r="A525" s="26" t="str">
        <f t="shared" si="11"/>
        <v>SUG02A_SEHST_BYERS</v>
      </c>
      <c r="B525" s="26" t="s">
        <v>1617</v>
      </c>
      <c r="C525" s="26" t="s">
        <v>1814</v>
      </c>
      <c r="D525" s="26" t="s">
        <v>1293</v>
      </c>
      <c r="E525" s="26" t="s">
        <v>1294</v>
      </c>
      <c r="F525" s="26" t="s">
        <v>1770</v>
      </c>
      <c r="G525" s="80">
        <v>0.28000000000000003</v>
      </c>
    </row>
    <row r="526" spans="1:7" x14ac:dyDescent="0.25">
      <c r="A526" s="26" t="str">
        <f t="shared" si="11"/>
        <v>ROW00A_SEHST_BYERS</v>
      </c>
      <c r="B526" s="26" t="s">
        <v>1619</v>
      </c>
      <c r="C526" s="26" t="s">
        <v>1814</v>
      </c>
      <c r="D526" s="26" t="s">
        <v>1293</v>
      </c>
      <c r="E526" s="26" t="s">
        <v>1294</v>
      </c>
      <c r="F526" s="26" t="s">
        <v>1770</v>
      </c>
      <c r="G526" s="80">
        <v>3.56</v>
      </c>
    </row>
    <row r="527" spans="1:7" x14ac:dyDescent="0.25">
      <c r="A527" s="26" t="str">
        <f t="shared" si="11"/>
        <v>ROW02A_SEHST_BYERS</v>
      </c>
      <c r="B527" s="26" t="s">
        <v>1621</v>
      </c>
      <c r="C527" s="26" t="s">
        <v>1814</v>
      </c>
      <c r="D527" s="26" t="s">
        <v>1293</v>
      </c>
      <c r="E527" s="26" t="s">
        <v>1294</v>
      </c>
      <c r="F527" s="26" t="s">
        <v>1770</v>
      </c>
      <c r="G527" s="80">
        <v>14.04</v>
      </c>
    </row>
    <row r="528" spans="1:7" x14ac:dyDescent="0.25">
      <c r="A528" s="26" t="str">
        <f t="shared" si="11"/>
        <v>ROW04A_SEHST_BYERS</v>
      </c>
      <c r="B528" s="26" t="s">
        <v>1623</v>
      </c>
      <c r="C528" s="26" t="s">
        <v>1814</v>
      </c>
      <c r="D528" s="26" t="s">
        <v>1293</v>
      </c>
      <c r="E528" s="26" t="s">
        <v>1294</v>
      </c>
      <c r="F528" s="26" t="s">
        <v>1770</v>
      </c>
      <c r="G528" s="80">
        <v>9.18</v>
      </c>
    </row>
    <row r="529" spans="1:7" x14ac:dyDescent="0.25">
      <c r="A529" s="26" t="str">
        <f t="shared" si="11"/>
        <v>ROW06A_SEHST_BYERS</v>
      </c>
      <c r="B529" s="26" t="s">
        <v>1625</v>
      </c>
      <c r="C529" s="26" t="s">
        <v>1814</v>
      </c>
      <c r="D529" s="26" t="s">
        <v>1293</v>
      </c>
      <c r="E529" s="26" t="s">
        <v>1294</v>
      </c>
      <c r="F529" s="26" t="s">
        <v>1770</v>
      </c>
      <c r="G529" s="80">
        <v>8.86</v>
      </c>
    </row>
    <row r="530" spans="1:7" x14ac:dyDescent="0.25">
      <c r="A530" s="26" t="str">
        <f t="shared" si="11"/>
        <v>ROW08A_SEHST_BYERS</v>
      </c>
      <c r="B530" s="26" t="s">
        <v>1627</v>
      </c>
      <c r="C530" s="26" t="s">
        <v>1814</v>
      </c>
      <c r="D530" s="26" t="s">
        <v>1293</v>
      </c>
      <c r="E530" s="26" t="s">
        <v>1294</v>
      </c>
      <c r="F530" s="26" t="s">
        <v>1770</v>
      </c>
      <c r="G530" s="80">
        <v>12.74</v>
      </c>
    </row>
    <row r="531" spans="1:7" x14ac:dyDescent="0.25">
      <c r="A531" s="26" t="str">
        <f t="shared" si="11"/>
        <v>ROW10A_SEHST_BYERS</v>
      </c>
      <c r="B531" s="26" t="s">
        <v>1629</v>
      </c>
      <c r="C531" s="26" t="s">
        <v>1814</v>
      </c>
      <c r="D531" s="26" t="s">
        <v>1293</v>
      </c>
      <c r="E531" s="26" t="s">
        <v>1294</v>
      </c>
      <c r="F531" s="26" t="s">
        <v>1770</v>
      </c>
      <c r="G531" s="80">
        <v>3.46</v>
      </c>
    </row>
    <row r="532" spans="1:7" x14ac:dyDescent="0.25">
      <c r="A532" s="26" t="str">
        <f t="shared" si="11"/>
        <v>ROW12A_SEHST_BYERS</v>
      </c>
      <c r="B532" s="26" t="s">
        <v>1631</v>
      </c>
      <c r="C532" s="26" t="s">
        <v>1814</v>
      </c>
      <c r="D532" s="26" t="s">
        <v>1293</v>
      </c>
      <c r="E532" s="26" t="s">
        <v>1294</v>
      </c>
      <c r="F532" s="26" t="s">
        <v>1770</v>
      </c>
      <c r="G532" s="80">
        <v>2.16</v>
      </c>
    </row>
    <row r="533" spans="1:7" x14ac:dyDescent="0.25">
      <c r="A533" s="26" t="str">
        <f t="shared" si="11"/>
        <v>ROW14A_SEHST_BYERS</v>
      </c>
      <c r="B533" s="26" t="s">
        <v>1633</v>
      </c>
      <c r="C533" s="26" t="s">
        <v>1814</v>
      </c>
      <c r="D533" s="26" t="s">
        <v>1293</v>
      </c>
      <c r="E533" s="26" t="s">
        <v>1294</v>
      </c>
      <c r="F533" s="26" t="s">
        <v>1770</v>
      </c>
      <c r="G533" s="80">
        <v>10.58</v>
      </c>
    </row>
    <row r="534" spans="1:7" x14ac:dyDescent="0.25">
      <c r="A534" s="26" t="str">
        <f t="shared" si="11"/>
        <v>ROW16A_SEHST_BYERS</v>
      </c>
      <c r="B534" s="26" t="s">
        <v>1635</v>
      </c>
      <c r="C534" s="26" t="s">
        <v>1814</v>
      </c>
      <c r="D534" s="26" t="s">
        <v>1293</v>
      </c>
      <c r="E534" s="26" t="s">
        <v>1294</v>
      </c>
      <c r="F534" s="26" t="s">
        <v>1770</v>
      </c>
      <c r="G534" s="80">
        <v>5.89</v>
      </c>
    </row>
    <row r="535" spans="1:7" x14ac:dyDescent="0.25">
      <c r="A535" s="26" t="str">
        <f t="shared" si="11"/>
        <v>ROW18A_SEHST_BYERS</v>
      </c>
      <c r="B535" s="26" t="s">
        <v>1637</v>
      </c>
      <c r="C535" s="26" t="s">
        <v>1814</v>
      </c>
      <c r="D535" s="26" t="s">
        <v>1293</v>
      </c>
      <c r="E535" s="26" t="s">
        <v>1294</v>
      </c>
      <c r="F535" s="26" t="s">
        <v>1770</v>
      </c>
      <c r="G535" s="80">
        <v>7.18</v>
      </c>
    </row>
    <row r="536" spans="1:7" x14ac:dyDescent="0.25">
      <c r="A536" s="26" t="str">
        <f t="shared" si="11"/>
        <v>ROW20A_SEHST_BYERS</v>
      </c>
      <c r="B536" s="26" t="s">
        <v>1639</v>
      </c>
      <c r="C536" s="26" t="s">
        <v>1814</v>
      </c>
      <c r="D536" s="26" t="s">
        <v>1293</v>
      </c>
      <c r="E536" s="26" t="s">
        <v>1294</v>
      </c>
      <c r="F536" s="26" t="s">
        <v>1770</v>
      </c>
      <c r="G536" s="80">
        <v>4.22</v>
      </c>
    </row>
    <row r="537" spans="1:7" x14ac:dyDescent="0.25">
      <c r="A537" s="26" t="str">
        <f t="shared" si="11"/>
        <v>ROW22A_SEHST_BYERS</v>
      </c>
      <c r="B537" s="26" t="s">
        <v>1641</v>
      </c>
      <c r="C537" s="26" t="s">
        <v>1814</v>
      </c>
      <c r="D537" s="26" t="s">
        <v>1293</v>
      </c>
      <c r="E537" s="26" t="s">
        <v>1294</v>
      </c>
      <c r="F537" s="26" t="s">
        <v>1770</v>
      </c>
      <c r="G537" s="80">
        <v>6.38</v>
      </c>
    </row>
    <row r="538" spans="1:7" x14ac:dyDescent="0.25">
      <c r="A538" s="26" t="str">
        <f t="shared" si="11"/>
        <v>ROW24A_SEHST_BYERS</v>
      </c>
      <c r="B538" s="26" t="s">
        <v>1643</v>
      </c>
      <c r="C538" s="26" t="s">
        <v>1814</v>
      </c>
      <c r="D538" s="26" t="s">
        <v>1293</v>
      </c>
      <c r="E538" s="26" t="s">
        <v>1294</v>
      </c>
      <c r="F538" s="26" t="s">
        <v>1770</v>
      </c>
      <c r="G538" s="80">
        <v>1.05</v>
      </c>
    </row>
    <row r="539" spans="1:7" x14ac:dyDescent="0.25">
      <c r="A539" s="26" t="str">
        <f t="shared" si="11"/>
        <v>ROW26A_SEHST_BYERS</v>
      </c>
      <c r="B539" s="26" t="s">
        <v>1646</v>
      </c>
      <c r="C539" s="26" t="s">
        <v>1814</v>
      </c>
      <c r="D539" s="26" t="s">
        <v>1293</v>
      </c>
      <c r="E539" s="26" t="s">
        <v>1294</v>
      </c>
      <c r="F539" s="26" t="s">
        <v>1770</v>
      </c>
      <c r="G539" s="80">
        <v>0.16</v>
      </c>
    </row>
    <row r="540" spans="1:7" x14ac:dyDescent="0.25">
      <c r="A540" s="26" t="str">
        <f t="shared" si="11"/>
        <v>ROW28A_SEHST_BYERS</v>
      </c>
      <c r="B540" s="26" t="s">
        <v>1649</v>
      </c>
      <c r="C540" s="26" t="s">
        <v>1814</v>
      </c>
      <c r="D540" s="26" t="s">
        <v>1293</v>
      </c>
      <c r="E540" s="26" t="s">
        <v>1294</v>
      </c>
      <c r="F540" s="26" t="s">
        <v>1770</v>
      </c>
      <c r="G540" s="80">
        <v>9.6999999999999993</v>
      </c>
    </row>
    <row r="541" spans="1:7" x14ac:dyDescent="0.25">
      <c r="A541" s="26" t="str">
        <f t="shared" si="11"/>
        <v>ROW30A_SEHST_BYERS</v>
      </c>
      <c r="B541" s="26" t="s">
        <v>1652</v>
      </c>
      <c r="C541" s="26" t="s">
        <v>1814</v>
      </c>
      <c r="D541" s="26" t="s">
        <v>1293</v>
      </c>
      <c r="E541" s="26" t="s">
        <v>1294</v>
      </c>
      <c r="F541" s="26" t="s">
        <v>1770</v>
      </c>
      <c r="G541" s="80">
        <v>0.01</v>
      </c>
    </row>
    <row r="542" spans="1:7" x14ac:dyDescent="0.25">
      <c r="A542" s="26" t="str">
        <f t="shared" si="11"/>
        <v>ROW32A_SEHST_BYERS</v>
      </c>
      <c r="B542" s="26" t="s">
        <v>1655</v>
      </c>
      <c r="C542" s="26" t="s">
        <v>1814</v>
      </c>
      <c r="D542" s="26" t="s">
        <v>1293</v>
      </c>
      <c r="E542" s="26" t="s">
        <v>1294</v>
      </c>
      <c r="F542" s="26" t="s">
        <v>1770</v>
      </c>
      <c r="G542" s="80">
        <v>2</v>
      </c>
    </row>
    <row r="543" spans="1:7" x14ac:dyDescent="0.25">
      <c r="A543" s="26" t="str">
        <f t="shared" si="11"/>
        <v>LMD00A_SEHST_BYERS</v>
      </c>
      <c r="B543" s="26" t="s">
        <v>1657</v>
      </c>
      <c r="C543" s="26" t="s">
        <v>1814</v>
      </c>
      <c r="D543" s="26" t="s">
        <v>1293</v>
      </c>
      <c r="E543" s="26" t="s">
        <v>1294</v>
      </c>
      <c r="F543" s="26" t="s">
        <v>1770</v>
      </c>
      <c r="G543" s="80">
        <v>0.02</v>
      </c>
    </row>
    <row r="544" spans="1:7" x14ac:dyDescent="0.25">
      <c r="A544" s="26" t="str">
        <f t="shared" si="11"/>
        <v>LMD02A_SEHST_BYERS</v>
      </c>
      <c r="B544" s="26" t="s">
        <v>1660</v>
      </c>
      <c r="C544" s="26" t="s">
        <v>1814</v>
      </c>
      <c r="D544" s="26" t="s">
        <v>1293</v>
      </c>
      <c r="E544" s="26" t="s">
        <v>1294</v>
      </c>
      <c r="F544" s="26" t="s">
        <v>1770</v>
      </c>
      <c r="G544" s="80">
        <v>0.01</v>
      </c>
    </row>
    <row r="545" spans="1:7" x14ac:dyDescent="0.25">
      <c r="A545" s="26" t="str">
        <f t="shared" si="11"/>
        <v>LMD04A_SEHST_BYERS</v>
      </c>
      <c r="B545" s="26" t="s">
        <v>1662</v>
      </c>
      <c r="C545" s="26" t="s">
        <v>1814</v>
      </c>
      <c r="D545" s="26" t="s">
        <v>1293</v>
      </c>
      <c r="E545" s="26" t="s">
        <v>1294</v>
      </c>
      <c r="F545" s="26" t="s">
        <v>1770</v>
      </c>
      <c r="G545" s="80">
        <v>0.01</v>
      </c>
    </row>
    <row r="546" spans="1:7" x14ac:dyDescent="0.25">
      <c r="A546" s="26" t="str">
        <f t="shared" si="11"/>
        <v>LMD06A_SEHST_BYERS</v>
      </c>
      <c r="B546" s="26" t="s">
        <v>1664</v>
      </c>
      <c r="C546" s="26" t="s">
        <v>1814</v>
      </c>
      <c r="D546" s="26" t="s">
        <v>1293</v>
      </c>
      <c r="E546" s="26" t="s">
        <v>1294</v>
      </c>
      <c r="F546" s="26" t="s">
        <v>1770</v>
      </c>
      <c r="G546" s="80">
        <v>0.86</v>
      </c>
    </row>
    <row r="547" spans="1:7" x14ac:dyDescent="0.25">
      <c r="A547" s="26" t="str">
        <f t="shared" si="11"/>
        <v>LMD08A_SEHST_BYERS</v>
      </c>
      <c r="B547" s="26" t="s">
        <v>1667</v>
      </c>
      <c r="C547" s="26" t="s">
        <v>1814</v>
      </c>
      <c r="D547" s="26" t="s">
        <v>1293</v>
      </c>
      <c r="E547" s="26" t="s">
        <v>1294</v>
      </c>
      <c r="F547" s="26" t="s">
        <v>1770</v>
      </c>
      <c r="G547" s="80">
        <v>2.16</v>
      </c>
    </row>
    <row r="548" spans="1:7" x14ac:dyDescent="0.25">
      <c r="A548" s="26" t="str">
        <f t="shared" si="11"/>
        <v>LMD10A_SEHST_BYERS</v>
      </c>
      <c r="B548" s="26" t="s">
        <v>1670</v>
      </c>
      <c r="C548" s="26" t="s">
        <v>1814</v>
      </c>
      <c r="D548" s="26" t="s">
        <v>1293</v>
      </c>
      <c r="E548" s="26" t="s">
        <v>1294</v>
      </c>
      <c r="F548" s="26" t="s">
        <v>1770</v>
      </c>
      <c r="G548" s="80">
        <v>2.13</v>
      </c>
    </row>
    <row r="549" spans="1:7" x14ac:dyDescent="0.25">
      <c r="A549" s="26" t="str">
        <f t="shared" si="11"/>
        <v>LMD12A_SEHST_BYERS</v>
      </c>
      <c r="B549" s="26" t="s">
        <v>1672</v>
      </c>
      <c r="C549" s="26" t="s">
        <v>1814</v>
      </c>
      <c r="D549" s="26" t="s">
        <v>1293</v>
      </c>
      <c r="E549" s="26" t="s">
        <v>1294</v>
      </c>
      <c r="F549" s="26" t="s">
        <v>1770</v>
      </c>
      <c r="G549" s="80">
        <v>2.81</v>
      </c>
    </row>
    <row r="550" spans="1:7" x14ac:dyDescent="0.25">
      <c r="A550" s="26" t="str">
        <f t="shared" si="11"/>
        <v>LMD14A_SEHST_BYERS</v>
      </c>
      <c r="B550" s="26" t="s">
        <v>1674</v>
      </c>
      <c r="C550" s="26" t="s">
        <v>1814</v>
      </c>
      <c r="D550" s="26" t="s">
        <v>1293</v>
      </c>
      <c r="E550" s="26" t="s">
        <v>1294</v>
      </c>
      <c r="F550" s="26" t="s">
        <v>1770</v>
      </c>
      <c r="G550" s="80">
        <v>0.53</v>
      </c>
    </row>
    <row r="551" spans="1:7" x14ac:dyDescent="0.25">
      <c r="A551" s="26" t="str">
        <f t="shared" si="11"/>
        <v>MSC00A_SEHST_BYERS</v>
      </c>
      <c r="B551" s="26" t="s">
        <v>1676</v>
      </c>
      <c r="C551" s="26" t="s">
        <v>1814</v>
      </c>
      <c r="D551" s="26" t="s">
        <v>1293</v>
      </c>
      <c r="E551" s="26" t="s">
        <v>1294</v>
      </c>
      <c r="F551" s="26" t="s">
        <v>1770</v>
      </c>
      <c r="G551" s="80">
        <v>0.01</v>
      </c>
    </row>
    <row r="552" spans="1:7" x14ac:dyDescent="0.25">
      <c r="A552" s="26" t="str">
        <f t="shared" si="11"/>
        <v>MSC02A_SEHST_BYERS</v>
      </c>
      <c r="B552" s="26" t="s">
        <v>1678</v>
      </c>
      <c r="C552" s="26" t="s">
        <v>1814</v>
      </c>
      <c r="D552" s="26" t="s">
        <v>1293</v>
      </c>
      <c r="E552" s="26" t="s">
        <v>1294</v>
      </c>
      <c r="F552" s="26" t="s">
        <v>1770</v>
      </c>
      <c r="G552" s="80">
        <v>0.01</v>
      </c>
    </row>
    <row r="553" spans="1:7" x14ac:dyDescent="0.25">
      <c r="A553" s="26" t="str">
        <f t="shared" si="11"/>
        <v>HLB00A_SEHST_BYERS</v>
      </c>
      <c r="B553" s="26" t="s">
        <v>1680</v>
      </c>
      <c r="C553" s="26" t="s">
        <v>1814</v>
      </c>
      <c r="D553" s="26" t="s">
        <v>1293</v>
      </c>
      <c r="E553" s="26" t="s">
        <v>1294</v>
      </c>
      <c r="F553" s="26" t="s">
        <v>1770</v>
      </c>
      <c r="G553" s="80">
        <v>0.52</v>
      </c>
    </row>
    <row r="554" spans="1:7" x14ac:dyDescent="0.25">
      <c r="A554" s="26" t="str">
        <f t="shared" si="11"/>
        <v>HLB02A_SEHST_BYERS</v>
      </c>
      <c r="B554" s="26" t="s">
        <v>1685</v>
      </c>
      <c r="C554" s="26" t="s">
        <v>1814</v>
      </c>
      <c r="D554" s="26" t="s">
        <v>1293</v>
      </c>
      <c r="E554" s="26" t="s">
        <v>1294</v>
      </c>
      <c r="F554" s="26" t="s">
        <v>1770</v>
      </c>
      <c r="G554" s="80">
        <v>0.46</v>
      </c>
    </row>
    <row r="555" spans="1:7" x14ac:dyDescent="0.25">
      <c r="A555" s="26" t="str">
        <f t="shared" si="11"/>
        <v>HLB04A_SEHST_BYERS</v>
      </c>
      <c r="B555" s="26" t="s">
        <v>1689</v>
      </c>
      <c r="C555" s="26" t="s">
        <v>1814</v>
      </c>
      <c r="D555" s="26" t="s">
        <v>1293</v>
      </c>
      <c r="E555" s="26" t="s">
        <v>1294</v>
      </c>
      <c r="F555" s="26" t="s">
        <v>1770</v>
      </c>
      <c r="G555" s="80">
        <v>0.32</v>
      </c>
    </row>
    <row r="556" spans="1:7" x14ac:dyDescent="0.25">
      <c r="A556" s="26" t="str">
        <f t="shared" si="11"/>
        <v>HLB06A_SEHST_BYERS</v>
      </c>
      <c r="B556" s="26" t="s">
        <v>1693</v>
      </c>
      <c r="C556" s="26" t="s">
        <v>1814</v>
      </c>
      <c r="D556" s="26" t="s">
        <v>1293</v>
      </c>
      <c r="E556" s="26" t="s">
        <v>1294</v>
      </c>
      <c r="F556" s="26" t="s">
        <v>1770</v>
      </c>
      <c r="G556" s="80">
        <v>1.08</v>
      </c>
    </row>
    <row r="557" spans="1:7" x14ac:dyDescent="0.25">
      <c r="A557" s="26" t="str">
        <f t="shared" si="11"/>
        <v>HLB08A_SEHST_BYERS</v>
      </c>
      <c r="B557" s="26" t="s">
        <v>1697</v>
      </c>
      <c r="C557" s="26" t="s">
        <v>1814</v>
      </c>
      <c r="D557" s="26" t="s">
        <v>1293</v>
      </c>
      <c r="E557" s="26" t="s">
        <v>1294</v>
      </c>
      <c r="F557" s="26" t="s">
        <v>1770</v>
      </c>
      <c r="G557" s="80">
        <v>1.18</v>
      </c>
    </row>
    <row r="558" spans="1:7" x14ac:dyDescent="0.25">
      <c r="A558" s="26" t="str">
        <f t="shared" si="11"/>
        <v>HLB12A_SEHST_BYERS</v>
      </c>
      <c r="B558" s="26" t="s">
        <v>1701</v>
      </c>
      <c r="C558" s="26" t="s">
        <v>1814</v>
      </c>
      <c r="D558" s="26" t="s">
        <v>1293</v>
      </c>
      <c r="E558" s="26" t="s">
        <v>1294</v>
      </c>
      <c r="F558" s="26" t="s">
        <v>1770</v>
      </c>
      <c r="G558" s="80">
        <v>0.4</v>
      </c>
    </row>
    <row r="559" spans="1:7" x14ac:dyDescent="0.25">
      <c r="A559" s="26" t="str">
        <f t="shared" si="11"/>
        <v>HLB14A_SEHST_BYERS</v>
      </c>
      <c r="B559" s="26" t="s">
        <v>1705</v>
      </c>
      <c r="C559" s="26" t="s">
        <v>1814</v>
      </c>
      <c r="D559" s="26" t="s">
        <v>1293</v>
      </c>
      <c r="E559" s="26" t="s">
        <v>1294</v>
      </c>
      <c r="F559" s="26" t="s">
        <v>1770</v>
      </c>
      <c r="G559" s="80">
        <v>1.18</v>
      </c>
    </row>
    <row r="560" spans="1:7" x14ac:dyDescent="0.25">
      <c r="A560" s="26" t="str">
        <f t="shared" si="11"/>
        <v>HLB16A_SEHST_BYERS</v>
      </c>
      <c r="B560" s="26" t="s">
        <v>1709</v>
      </c>
      <c r="C560" s="26" t="s">
        <v>1814</v>
      </c>
      <c r="D560" s="26" t="s">
        <v>1293</v>
      </c>
      <c r="E560" s="26" t="s">
        <v>1294</v>
      </c>
      <c r="F560" s="26" t="s">
        <v>1770</v>
      </c>
      <c r="G560" s="80">
        <v>1.63</v>
      </c>
    </row>
    <row r="561" spans="1:7" x14ac:dyDescent="0.25">
      <c r="A561" s="26" t="str">
        <f t="shared" si="11"/>
        <v>HLB18A_SEHST_BYERS</v>
      </c>
      <c r="B561" s="26" t="s">
        <v>1713</v>
      </c>
      <c r="C561" s="26" t="s">
        <v>1814</v>
      </c>
      <c r="D561" s="26" t="s">
        <v>1293</v>
      </c>
      <c r="E561" s="26" t="s">
        <v>1294</v>
      </c>
      <c r="F561" s="26" t="s">
        <v>1770</v>
      </c>
      <c r="G561" s="80">
        <v>1.28</v>
      </c>
    </row>
  </sheetData>
  <autoFilter ref="A1:G561" xr:uid="{00000000-0001-0000-0300-000000000000}"/>
  <conditionalFormatting sqref="G19">
    <cfRule type="duplicateValues" dxfId="5" priority="5"/>
  </conditionalFormatting>
  <conditionalFormatting sqref="G19">
    <cfRule type="duplicateValues" dxfId="4" priority="6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 filterMode="1"/>
  <dimension ref="A1:W328"/>
  <sheetViews>
    <sheetView topLeftCell="C1" workbookViewId="0">
      <selection activeCell="W7" sqref="W7"/>
    </sheetView>
  </sheetViews>
  <sheetFormatPr defaultRowHeight="15" x14ac:dyDescent="0.25"/>
  <cols>
    <col min="1" max="2" width="16.7109375" bestFit="1" customWidth="1"/>
    <col min="3" max="3" width="24.42578125" bestFit="1" customWidth="1"/>
    <col min="4" max="5" width="22.5703125" customWidth="1"/>
    <col min="6" max="7" width="7.7109375" customWidth="1"/>
    <col min="8" max="8" width="7.140625" customWidth="1"/>
    <col min="9" max="9" width="10.42578125" bestFit="1" customWidth="1"/>
    <col min="10" max="10" width="16.7109375" customWidth="1"/>
    <col min="11" max="11" width="6.28515625" customWidth="1"/>
    <col min="12" max="12" width="5.5703125" customWidth="1"/>
    <col min="13" max="14" width="8.85546875" customWidth="1"/>
    <col min="15" max="15" width="7.140625" customWidth="1"/>
    <col min="16" max="16" width="20.85546875" customWidth="1"/>
    <col min="22" max="22" width="11.42578125" bestFit="1" customWidth="1"/>
    <col min="23" max="23" width="49.7109375" bestFit="1" customWidth="1"/>
  </cols>
  <sheetData>
    <row r="1" spans="1:23" ht="30.75" thickBot="1" x14ac:dyDescent="0.3">
      <c r="A1" s="5" t="s">
        <v>13</v>
      </c>
      <c r="B1" s="5" t="s">
        <v>14</v>
      </c>
      <c r="C1" s="5" t="s">
        <v>15</v>
      </c>
      <c r="D1" s="5" t="s">
        <v>16</v>
      </c>
      <c r="E1" s="6" t="s">
        <v>17</v>
      </c>
      <c r="F1" s="6" t="s">
        <v>18</v>
      </c>
      <c r="G1" s="5" t="s">
        <v>19</v>
      </c>
      <c r="H1" s="6" t="s">
        <v>20</v>
      </c>
      <c r="I1" s="6" t="s">
        <v>21</v>
      </c>
      <c r="J1" s="6" t="s">
        <v>22</v>
      </c>
      <c r="K1" s="6" t="s">
        <v>23</v>
      </c>
      <c r="L1" s="6" t="s">
        <v>24</v>
      </c>
      <c r="M1" s="5" t="s">
        <v>1772</v>
      </c>
      <c r="N1" s="5" t="s">
        <v>1773</v>
      </c>
      <c r="O1" s="5" t="s">
        <v>1762</v>
      </c>
      <c r="P1" s="5" t="s">
        <v>1774</v>
      </c>
      <c r="Q1" s="5" t="s">
        <v>25</v>
      </c>
      <c r="R1" s="5" t="s">
        <v>26</v>
      </c>
      <c r="S1" s="5" t="s">
        <v>27</v>
      </c>
      <c r="T1" s="67"/>
      <c r="U1" s="30" t="s">
        <v>1319</v>
      </c>
      <c r="V1" s="30" t="s">
        <v>1321</v>
      </c>
      <c r="W1" s="30" t="s">
        <v>1320</v>
      </c>
    </row>
    <row r="2" spans="1:23" x14ac:dyDescent="0.25">
      <c r="A2" s="7" t="s">
        <v>28</v>
      </c>
      <c r="B2" s="7">
        <v>281447</v>
      </c>
      <c r="C2" s="7" t="s">
        <v>29</v>
      </c>
      <c r="D2" s="7" t="s">
        <v>30</v>
      </c>
      <c r="E2" s="7" t="s">
        <v>30</v>
      </c>
      <c r="F2" s="7" t="s">
        <v>31</v>
      </c>
      <c r="G2" s="7" t="s">
        <v>32</v>
      </c>
      <c r="H2" s="7" t="s">
        <v>33</v>
      </c>
      <c r="I2" s="7" t="s">
        <v>34</v>
      </c>
      <c r="J2" s="7"/>
      <c r="K2" s="7" t="s">
        <v>35</v>
      </c>
      <c r="L2" s="7" t="s">
        <v>36</v>
      </c>
      <c r="M2" s="7" t="s">
        <v>1806</v>
      </c>
      <c r="N2" s="7" t="s">
        <v>1810</v>
      </c>
      <c r="O2" s="7" t="s">
        <v>1811</v>
      </c>
      <c r="P2" s="7" t="s">
        <v>1294</v>
      </c>
      <c r="Q2" s="7" t="s">
        <v>37</v>
      </c>
      <c r="R2" s="7" t="s">
        <v>38</v>
      </c>
      <c r="S2" s="7" t="s">
        <v>39</v>
      </c>
      <c r="T2" s="68"/>
      <c r="U2" s="16" t="s">
        <v>1282</v>
      </c>
      <c r="V2" s="16" t="s">
        <v>1284</v>
      </c>
      <c r="W2" s="16" t="s">
        <v>1283</v>
      </c>
    </row>
    <row r="3" spans="1:23" x14ac:dyDescent="0.25">
      <c r="A3" s="8" t="s">
        <v>40</v>
      </c>
      <c r="B3" s="8">
        <v>281442</v>
      </c>
      <c r="C3" s="8" t="s">
        <v>41</v>
      </c>
      <c r="D3" s="8" t="s">
        <v>42</v>
      </c>
      <c r="E3" s="8" t="s">
        <v>42</v>
      </c>
      <c r="F3" s="8" t="s">
        <v>43</v>
      </c>
      <c r="G3" s="8" t="s">
        <v>44</v>
      </c>
      <c r="H3" s="8" t="s">
        <v>45</v>
      </c>
      <c r="I3" s="8" t="s">
        <v>34</v>
      </c>
      <c r="J3" s="8"/>
      <c r="K3" s="8" t="s">
        <v>35</v>
      </c>
      <c r="L3" s="8" t="s">
        <v>36</v>
      </c>
      <c r="M3" s="7" t="s">
        <v>1806</v>
      </c>
      <c r="N3" s="8" t="s">
        <v>1810</v>
      </c>
      <c r="O3" s="7" t="s">
        <v>1811</v>
      </c>
      <c r="P3" s="7" t="s">
        <v>1294</v>
      </c>
      <c r="Q3" s="8" t="s">
        <v>37</v>
      </c>
      <c r="R3" s="8" t="s">
        <v>38</v>
      </c>
      <c r="S3" s="9" t="s">
        <v>39</v>
      </c>
      <c r="T3" s="68"/>
      <c r="U3" s="15" t="s">
        <v>1285</v>
      </c>
      <c r="V3" s="15" t="s">
        <v>1287</v>
      </c>
      <c r="W3" s="15" t="s">
        <v>1286</v>
      </c>
    </row>
    <row r="4" spans="1:23" hidden="1" x14ac:dyDescent="0.25">
      <c r="A4" s="10" t="s">
        <v>46</v>
      </c>
      <c r="B4" s="10">
        <v>361664</v>
      </c>
      <c r="C4" s="10" t="s">
        <v>47</v>
      </c>
      <c r="D4" s="10" t="s">
        <v>48</v>
      </c>
      <c r="E4" s="10" t="s">
        <v>48</v>
      </c>
      <c r="F4" s="10" t="s">
        <v>49</v>
      </c>
      <c r="G4" s="10" t="s">
        <v>50</v>
      </c>
      <c r="H4" s="10" t="s">
        <v>45</v>
      </c>
      <c r="I4" s="10" t="s">
        <v>51</v>
      </c>
      <c r="J4" s="10" t="s">
        <v>52</v>
      </c>
      <c r="K4" s="10" t="s">
        <v>53</v>
      </c>
      <c r="L4" s="10" t="s">
        <v>54</v>
      </c>
      <c r="M4" s="7" t="s">
        <v>55</v>
      </c>
      <c r="N4" s="10" t="e">
        <v>#N/A</v>
      </c>
      <c r="O4" s="7" t="e">
        <v>#N/A</v>
      </c>
      <c r="P4" s="66" t="s">
        <v>1775</v>
      </c>
      <c r="Q4" s="10" t="s">
        <v>56</v>
      </c>
      <c r="R4" s="10" t="s">
        <v>38</v>
      </c>
      <c r="S4" s="10" t="s">
        <v>101</v>
      </c>
      <c r="T4" s="68"/>
      <c r="U4" s="15" t="s">
        <v>1288</v>
      </c>
      <c r="V4" s="15" t="s">
        <v>1290</v>
      </c>
      <c r="W4" s="15" t="s">
        <v>1289</v>
      </c>
    </row>
    <row r="5" spans="1:23" x14ac:dyDescent="0.25">
      <c r="A5" s="8" t="s">
        <v>58</v>
      </c>
      <c r="B5" s="8">
        <v>281498</v>
      </c>
      <c r="C5" s="8" t="s">
        <v>59</v>
      </c>
      <c r="D5" s="8" t="s">
        <v>60</v>
      </c>
      <c r="E5" s="8" t="s">
        <v>60</v>
      </c>
      <c r="F5" s="8" t="s">
        <v>61</v>
      </c>
      <c r="G5" s="8" t="s">
        <v>62</v>
      </c>
      <c r="H5" s="8" t="s">
        <v>63</v>
      </c>
      <c r="I5" s="8" t="s">
        <v>51</v>
      </c>
      <c r="J5" s="8"/>
      <c r="K5" s="8" t="s">
        <v>53</v>
      </c>
      <c r="L5" s="8" t="s">
        <v>64</v>
      </c>
      <c r="M5" s="7" t="s">
        <v>1807</v>
      </c>
      <c r="N5" s="8" t="s">
        <v>1812</v>
      </c>
      <c r="O5" s="7" t="s">
        <v>1813</v>
      </c>
      <c r="P5" s="7" t="s">
        <v>1294</v>
      </c>
      <c r="Q5" s="8" t="s">
        <v>37</v>
      </c>
      <c r="R5" s="8" t="s">
        <v>38</v>
      </c>
      <c r="S5" s="8" t="s">
        <v>57</v>
      </c>
      <c r="T5" s="68"/>
      <c r="U5" s="15" t="s">
        <v>1291</v>
      </c>
      <c r="V5" s="15" t="s">
        <v>533</v>
      </c>
      <c r="W5" s="15" t="s">
        <v>1292</v>
      </c>
    </row>
    <row r="6" spans="1:23" x14ac:dyDescent="0.25">
      <c r="A6" s="10" t="s">
        <v>65</v>
      </c>
      <c r="B6" s="10">
        <v>281331</v>
      </c>
      <c r="C6" s="10" t="s">
        <v>66</v>
      </c>
      <c r="D6" s="10" t="s">
        <v>67</v>
      </c>
      <c r="E6" s="10" t="s">
        <v>67</v>
      </c>
      <c r="F6" s="10" t="s">
        <v>68</v>
      </c>
      <c r="G6" s="10" t="s">
        <v>69</v>
      </c>
      <c r="H6" s="10" t="s">
        <v>70</v>
      </c>
      <c r="I6" s="10" t="s">
        <v>71</v>
      </c>
      <c r="J6" s="10"/>
      <c r="K6" s="10" t="s">
        <v>72</v>
      </c>
      <c r="L6" s="10" t="s">
        <v>73</v>
      </c>
      <c r="M6" s="7" t="s">
        <v>1808</v>
      </c>
      <c r="N6" s="10" t="s">
        <v>1814</v>
      </c>
      <c r="O6" s="7" t="s">
        <v>1815</v>
      </c>
      <c r="P6" s="7" t="s">
        <v>1294</v>
      </c>
      <c r="Q6" s="10" t="s">
        <v>74</v>
      </c>
      <c r="R6" s="10" t="s">
        <v>38</v>
      </c>
      <c r="S6" s="10" t="s">
        <v>89</v>
      </c>
      <c r="T6" s="68"/>
      <c r="U6" s="15" t="s">
        <v>1293</v>
      </c>
      <c r="V6" s="15" t="s">
        <v>1294</v>
      </c>
      <c r="W6" s="15" t="s">
        <v>1818</v>
      </c>
    </row>
    <row r="7" spans="1:23" x14ac:dyDescent="0.25">
      <c r="A7" s="8" t="s">
        <v>75</v>
      </c>
      <c r="B7" s="8">
        <v>979849</v>
      </c>
      <c r="C7" s="8" t="s">
        <v>76</v>
      </c>
      <c r="D7" s="8" t="s">
        <v>77</v>
      </c>
      <c r="E7" s="8" t="s">
        <v>78</v>
      </c>
      <c r="F7" s="8" t="s">
        <v>79</v>
      </c>
      <c r="G7" s="8" t="s">
        <v>80</v>
      </c>
      <c r="H7" s="8" t="s">
        <v>81</v>
      </c>
      <c r="I7" s="8" t="s">
        <v>71</v>
      </c>
      <c r="J7" s="8"/>
      <c r="K7" s="8" t="s">
        <v>72</v>
      </c>
      <c r="L7" s="8" t="s">
        <v>82</v>
      </c>
      <c r="M7" s="7" t="s">
        <v>1808</v>
      </c>
      <c r="N7" s="8" t="s">
        <v>1814</v>
      </c>
      <c r="O7" s="7" t="s">
        <v>1815</v>
      </c>
      <c r="P7" s="7" t="s">
        <v>1294</v>
      </c>
      <c r="Q7" s="8" t="s">
        <v>56</v>
      </c>
      <c r="R7" s="8" t="s">
        <v>38</v>
      </c>
      <c r="S7" s="8" t="s">
        <v>89</v>
      </c>
      <c r="T7" s="68"/>
      <c r="U7" s="15" t="s">
        <v>1295</v>
      </c>
      <c r="V7" s="15" t="s">
        <v>1297</v>
      </c>
      <c r="W7" s="15" t="s">
        <v>1296</v>
      </c>
    </row>
    <row r="8" spans="1:23" x14ac:dyDescent="0.25">
      <c r="A8" s="10" t="s">
        <v>83</v>
      </c>
      <c r="B8" s="10">
        <v>281488</v>
      </c>
      <c r="C8" s="10" t="s">
        <v>84</v>
      </c>
      <c r="D8" s="10" t="s">
        <v>85</v>
      </c>
      <c r="E8" s="10" t="s">
        <v>85</v>
      </c>
      <c r="F8" s="10" t="s">
        <v>86</v>
      </c>
      <c r="G8" s="10" t="s">
        <v>87</v>
      </c>
      <c r="H8" s="10" t="s">
        <v>88</v>
      </c>
      <c r="I8" s="10" t="s">
        <v>71</v>
      </c>
      <c r="J8" s="10"/>
      <c r="K8" s="10" t="s">
        <v>72</v>
      </c>
      <c r="L8" s="10" t="s">
        <v>36</v>
      </c>
      <c r="M8" s="7" t="s">
        <v>1808</v>
      </c>
      <c r="N8" s="10" t="s">
        <v>1814</v>
      </c>
      <c r="O8" s="7" t="s">
        <v>1815</v>
      </c>
      <c r="P8" s="7" t="s">
        <v>1294</v>
      </c>
      <c r="Q8" s="10" t="s">
        <v>37</v>
      </c>
      <c r="R8" s="10" t="s">
        <v>38</v>
      </c>
      <c r="S8" s="10" t="s">
        <v>89</v>
      </c>
      <c r="T8" s="68"/>
      <c r="U8" s="15" t="s">
        <v>1298</v>
      </c>
      <c r="V8" s="15" t="s">
        <v>1300</v>
      </c>
      <c r="W8" s="15" t="s">
        <v>1299</v>
      </c>
    </row>
    <row r="9" spans="1:23" hidden="1" x14ac:dyDescent="0.25">
      <c r="A9" s="8" t="s">
        <v>90</v>
      </c>
      <c r="B9" s="8">
        <v>830468</v>
      </c>
      <c r="C9" s="8" t="s">
        <v>91</v>
      </c>
      <c r="D9" s="8" t="s">
        <v>92</v>
      </c>
      <c r="E9" s="8" t="s">
        <v>92</v>
      </c>
      <c r="F9" s="8" t="s">
        <v>93</v>
      </c>
      <c r="G9" s="8" t="s">
        <v>94</v>
      </c>
      <c r="H9" s="8" t="s">
        <v>95</v>
      </c>
      <c r="I9" s="8" t="s">
        <v>96</v>
      </c>
      <c r="J9" s="8" t="s">
        <v>97</v>
      </c>
      <c r="K9" s="8" t="s">
        <v>98</v>
      </c>
      <c r="L9" s="8" t="s">
        <v>99</v>
      </c>
      <c r="M9" s="7" t="s">
        <v>100</v>
      </c>
      <c r="N9" s="8" t="e">
        <v>#N/A</v>
      </c>
      <c r="O9" s="7" t="e">
        <v>#N/A</v>
      </c>
      <c r="P9" s="66" t="s">
        <v>1775</v>
      </c>
      <c r="Q9" s="8" t="s">
        <v>74</v>
      </c>
      <c r="R9" s="8" t="s">
        <v>38</v>
      </c>
      <c r="S9" s="8" t="s">
        <v>101</v>
      </c>
      <c r="T9" s="68"/>
      <c r="U9" s="15" t="s">
        <v>1301</v>
      </c>
      <c r="V9" s="15" t="s">
        <v>1303</v>
      </c>
      <c r="W9" s="15" t="s">
        <v>1302</v>
      </c>
    </row>
    <row r="10" spans="1:23" x14ac:dyDescent="0.25">
      <c r="A10" s="10" t="s">
        <v>102</v>
      </c>
      <c r="B10" s="10">
        <v>281444</v>
      </c>
      <c r="C10" s="10" t="s">
        <v>103</v>
      </c>
      <c r="D10" s="10" t="s">
        <v>104</v>
      </c>
      <c r="E10" s="10" t="s">
        <v>104</v>
      </c>
      <c r="F10" s="10" t="s">
        <v>105</v>
      </c>
      <c r="G10" s="10" t="s">
        <v>106</v>
      </c>
      <c r="H10" s="10" t="s">
        <v>107</v>
      </c>
      <c r="I10" s="10" t="s">
        <v>108</v>
      </c>
      <c r="J10" s="10"/>
      <c r="K10" s="10" t="s">
        <v>109</v>
      </c>
      <c r="L10" s="10" t="s">
        <v>36</v>
      </c>
      <c r="M10" s="7" t="s">
        <v>1804</v>
      </c>
      <c r="N10" s="10" t="s">
        <v>1816</v>
      </c>
      <c r="O10" s="7" t="s">
        <v>1817</v>
      </c>
      <c r="P10" s="7" t="s">
        <v>1294</v>
      </c>
      <c r="Q10" s="10" t="s">
        <v>37</v>
      </c>
      <c r="R10" s="10" t="s">
        <v>38</v>
      </c>
      <c r="S10" s="10" t="s">
        <v>39</v>
      </c>
      <c r="T10" s="68"/>
      <c r="U10" s="15" t="s">
        <v>1304</v>
      </c>
      <c r="V10" s="15" t="s">
        <v>1305</v>
      </c>
      <c r="W10" s="15" t="s">
        <v>1771</v>
      </c>
    </row>
    <row r="11" spans="1:23" x14ac:dyDescent="0.25">
      <c r="A11" s="8" t="s">
        <v>110</v>
      </c>
      <c r="B11" s="8">
        <v>281492</v>
      </c>
      <c r="C11" s="8" t="s">
        <v>111</v>
      </c>
      <c r="D11" s="8" t="s">
        <v>112</v>
      </c>
      <c r="E11" s="8" t="s">
        <v>112</v>
      </c>
      <c r="F11" s="8" t="s">
        <v>113</v>
      </c>
      <c r="G11" s="8" t="s">
        <v>114</v>
      </c>
      <c r="H11" s="8" t="s">
        <v>115</v>
      </c>
      <c r="I11" s="8" t="s">
        <v>51</v>
      </c>
      <c r="J11" s="8"/>
      <c r="K11" s="8" t="s">
        <v>53</v>
      </c>
      <c r="L11" s="8" t="s">
        <v>64</v>
      </c>
      <c r="M11" s="7" t="s">
        <v>1807</v>
      </c>
      <c r="N11" s="8" t="s">
        <v>1812</v>
      </c>
      <c r="O11" s="7" t="s">
        <v>1813</v>
      </c>
      <c r="P11" s="7" t="s">
        <v>1294</v>
      </c>
      <c r="Q11" s="8" t="s">
        <v>37</v>
      </c>
      <c r="R11" s="8" t="s">
        <v>38</v>
      </c>
      <c r="S11" s="9" t="s">
        <v>116</v>
      </c>
      <c r="T11" s="68"/>
      <c r="U11" s="15" t="s">
        <v>1306</v>
      </c>
      <c r="V11" s="15" t="s">
        <v>1308</v>
      </c>
      <c r="W11" s="15" t="s">
        <v>1307</v>
      </c>
    </row>
    <row r="12" spans="1:23" hidden="1" x14ac:dyDescent="0.25">
      <c r="A12" s="10" t="s">
        <v>117</v>
      </c>
      <c r="B12" s="10">
        <v>830376</v>
      </c>
      <c r="C12" s="10" t="s">
        <v>118</v>
      </c>
      <c r="D12" s="10" t="s">
        <v>119</v>
      </c>
      <c r="E12" s="10" t="s">
        <v>119</v>
      </c>
      <c r="F12" s="10" t="s">
        <v>120</v>
      </c>
      <c r="G12" s="10" t="s">
        <v>121</v>
      </c>
      <c r="H12" s="10" t="s">
        <v>122</v>
      </c>
      <c r="I12" s="10" t="s">
        <v>96</v>
      </c>
      <c r="J12" s="10" t="s">
        <v>123</v>
      </c>
      <c r="K12" s="10" t="s">
        <v>98</v>
      </c>
      <c r="L12" s="10" t="s">
        <v>99</v>
      </c>
      <c r="M12" s="7" t="s">
        <v>100</v>
      </c>
      <c r="N12" s="10" t="e">
        <v>#N/A</v>
      </c>
      <c r="O12" s="7" t="e">
        <v>#N/A</v>
      </c>
      <c r="P12" s="66" t="s">
        <v>1775</v>
      </c>
      <c r="Q12" s="10" t="s">
        <v>74</v>
      </c>
      <c r="R12" s="10" t="s">
        <v>38</v>
      </c>
      <c r="S12" s="10" t="s">
        <v>101</v>
      </c>
      <c r="T12" s="68"/>
      <c r="U12" s="15" t="s">
        <v>1309</v>
      </c>
      <c r="V12" s="15" t="s">
        <v>164</v>
      </c>
      <c r="W12" s="15" t="s">
        <v>1310</v>
      </c>
    </row>
    <row r="13" spans="1:23" x14ac:dyDescent="0.25">
      <c r="A13" s="8" t="s">
        <v>124</v>
      </c>
      <c r="B13" s="8">
        <v>979245</v>
      </c>
      <c r="C13" s="8" t="s">
        <v>125</v>
      </c>
      <c r="D13" s="8" t="s">
        <v>126</v>
      </c>
      <c r="E13" s="8" t="s">
        <v>126</v>
      </c>
      <c r="F13" s="8" t="s">
        <v>127</v>
      </c>
      <c r="G13" s="8" t="s">
        <v>128</v>
      </c>
      <c r="H13" s="8" t="s">
        <v>129</v>
      </c>
      <c r="I13" s="8" t="s">
        <v>71</v>
      </c>
      <c r="J13" s="8"/>
      <c r="K13" s="8" t="s">
        <v>72</v>
      </c>
      <c r="L13" s="8" t="s">
        <v>82</v>
      </c>
      <c r="M13" s="7" t="s">
        <v>1808</v>
      </c>
      <c r="N13" s="8" t="s">
        <v>1814</v>
      </c>
      <c r="O13" s="7" t="s">
        <v>1815</v>
      </c>
      <c r="P13" s="7" t="s">
        <v>1294</v>
      </c>
      <c r="Q13" s="8" t="s">
        <v>56</v>
      </c>
      <c r="R13" s="8" t="s">
        <v>38</v>
      </c>
      <c r="S13" s="9" t="s">
        <v>89</v>
      </c>
      <c r="T13" s="68"/>
      <c r="U13" s="15" t="s">
        <v>1311</v>
      </c>
      <c r="V13" s="15" t="s">
        <v>1001</v>
      </c>
      <c r="W13" s="15" t="s">
        <v>1312</v>
      </c>
    </row>
    <row r="14" spans="1:23" hidden="1" x14ac:dyDescent="0.25">
      <c r="A14" s="10" t="s">
        <v>130</v>
      </c>
      <c r="B14" s="10">
        <v>361529</v>
      </c>
      <c r="C14" s="10" t="s">
        <v>131</v>
      </c>
      <c r="D14" s="10" t="s">
        <v>132</v>
      </c>
      <c r="E14" s="10" t="s">
        <v>132</v>
      </c>
      <c r="F14" s="10" t="s">
        <v>133</v>
      </c>
      <c r="G14" s="10" t="s">
        <v>134</v>
      </c>
      <c r="H14" s="10" t="s">
        <v>135</v>
      </c>
      <c r="I14" s="10" t="s">
        <v>51</v>
      </c>
      <c r="J14" s="10" t="s">
        <v>52</v>
      </c>
      <c r="K14" s="10" t="s">
        <v>53</v>
      </c>
      <c r="L14" s="10" t="s">
        <v>54</v>
      </c>
      <c r="M14" s="7" t="s">
        <v>55</v>
      </c>
      <c r="N14" s="10" t="e">
        <v>#N/A</v>
      </c>
      <c r="O14" s="7" t="e">
        <v>#N/A</v>
      </c>
      <c r="P14" s="66" t="s">
        <v>1775</v>
      </c>
      <c r="Q14" s="10" t="s">
        <v>74</v>
      </c>
      <c r="R14" s="10" t="s">
        <v>38</v>
      </c>
      <c r="S14" s="10" t="s">
        <v>101</v>
      </c>
      <c r="T14" s="68"/>
      <c r="U14" s="15" t="s">
        <v>1280</v>
      </c>
      <c r="V14" s="15" t="s">
        <v>1279</v>
      </c>
      <c r="W14" s="15" t="s">
        <v>1281</v>
      </c>
    </row>
    <row r="15" spans="1:23" x14ac:dyDescent="0.25">
      <c r="A15" s="8" t="s">
        <v>136</v>
      </c>
      <c r="B15" s="8">
        <v>409832</v>
      </c>
      <c r="C15" s="8" t="s">
        <v>137</v>
      </c>
      <c r="D15" s="8" t="s">
        <v>138</v>
      </c>
      <c r="E15" s="8" t="s">
        <v>139</v>
      </c>
      <c r="F15" s="8" t="s">
        <v>140</v>
      </c>
      <c r="G15" s="8" t="s">
        <v>141</v>
      </c>
      <c r="H15" s="8" t="s">
        <v>142</v>
      </c>
      <c r="I15" s="8" t="s">
        <v>34</v>
      </c>
      <c r="J15" s="8"/>
      <c r="K15" s="8" t="s">
        <v>35</v>
      </c>
      <c r="L15" s="8" t="s">
        <v>64</v>
      </c>
      <c r="M15" s="7" t="s">
        <v>1806</v>
      </c>
      <c r="N15" s="8" t="s">
        <v>1810</v>
      </c>
      <c r="O15" s="7" t="s">
        <v>1811</v>
      </c>
      <c r="P15" s="7" t="s">
        <v>1294</v>
      </c>
      <c r="Q15" s="8" t="s">
        <v>37</v>
      </c>
      <c r="R15" s="8" t="s">
        <v>38</v>
      </c>
      <c r="S15" s="8" t="s">
        <v>39</v>
      </c>
      <c r="T15" s="68"/>
      <c r="U15" s="15" t="s">
        <v>1313</v>
      </c>
      <c r="V15" s="15" t="s">
        <v>1315</v>
      </c>
      <c r="W15" s="15" t="s">
        <v>1314</v>
      </c>
    </row>
    <row r="16" spans="1:23" x14ac:dyDescent="0.25">
      <c r="A16" s="10" t="s">
        <v>143</v>
      </c>
      <c r="B16" s="10">
        <v>409892</v>
      </c>
      <c r="C16" s="10" t="s">
        <v>144</v>
      </c>
      <c r="D16" s="10" t="s">
        <v>145</v>
      </c>
      <c r="E16" s="10" t="s">
        <v>146</v>
      </c>
      <c r="F16" s="10" t="s">
        <v>147</v>
      </c>
      <c r="G16" s="10" t="s">
        <v>148</v>
      </c>
      <c r="H16" s="10" t="s">
        <v>149</v>
      </c>
      <c r="I16" s="10" t="s">
        <v>34</v>
      </c>
      <c r="J16" s="10"/>
      <c r="K16" s="10" t="s">
        <v>35</v>
      </c>
      <c r="L16" s="10" t="s">
        <v>73</v>
      </c>
      <c r="M16" s="7" t="s">
        <v>1806</v>
      </c>
      <c r="N16" s="10" t="s">
        <v>1810</v>
      </c>
      <c r="O16" s="7" t="s">
        <v>1811</v>
      </c>
      <c r="P16" s="7" t="s">
        <v>1294</v>
      </c>
      <c r="Q16" s="10" t="s">
        <v>150</v>
      </c>
      <c r="R16" s="10" t="s">
        <v>38</v>
      </c>
      <c r="S16" s="10" t="s">
        <v>39</v>
      </c>
      <c r="T16" s="68"/>
      <c r="U16" s="15" t="s">
        <v>1316</v>
      </c>
      <c r="V16" s="15" t="s">
        <v>1318</v>
      </c>
      <c r="W16" s="15" t="s">
        <v>1317</v>
      </c>
    </row>
    <row r="17" spans="1:23" x14ac:dyDescent="0.25">
      <c r="A17" s="8" t="s">
        <v>151</v>
      </c>
      <c r="B17" s="8">
        <v>409866</v>
      </c>
      <c r="C17" s="8" t="s">
        <v>152</v>
      </c>
      <c r="D17" s="8" t="s">
        <v>153</v>
      </c>
      <c r="E17" s="8" t="s">
        <v>154</v>
      </c>
      <c r="F17" s="8" t="s">
        <v>155</v>
      </c>
      <c r="G17" s="8" t="s">
        <v>156</v>
      </c>
      <c r="H17" s="8" t="s">
        <v>157</v>
      </c>
      <c r="I17" s="8" t="s">
        <v>34</v>
      </c>
      <c r="J17" s="8"/>
      <c r="K17" s="8" t="s">
        <v>35</v>
      </c>
      <c r="L17" s="8" t="s">
        <v>82</v>
      </c>
      <c r="M17" s="7" t="s">
        <v>1806</v>
      </c>
      <c r="N17" s="8" t="s">
        <v>1810</v>
      </c>
      <c r="O17" s="7" t="s">
        <v>1811</v>
      </c>
      <c r="P17" s="7" t="s">
        <v>1294</v>
      </c>
      <c r="Q17" s="8" t="s">
        <v>150</v>
      </c>
      <c r="R17" s="8" t="s">
        <v>38</v>
      </c>
      <c r="S17" s="8" t="s">
        <v>39</v>
      </c>
      <c r="T17" s="68"/>
      <c r="U17" s="15" t="s">
        <v>1364</v>
      </c>
      <c r="V17" s="15" t="s">
        <v>1365</v>
      </c>
      <c r="W17" s="15" t="s">
        <v>1363</v>
      </c>
    </row>
    <row r="18" spans="1:23" x14ac:dyDescent="0.25">
      <c r="A18" s="10" t="s">
        <v>158</v>
      </c>
      <c r="B18" s="10">
        <v>409842</v>
      </c>
      <c r="C18" s="10" t="s">
        <v>159</v>
      </c>
      <c r="D18" s="10" t="s">
        <v>160</v>
      </c>
      <c r="E18" s="10" t="s">
        <v>161</v>
      </c>
      <c r="F18" s="10" t="s">
        <v>162</v>
      </c>
      <c r="G18" s="10" t="s">
        <v>163</v>
      </c>
      <c r="H18" s="10" t="s">
        <v>164</v>
      </c>
      <c r="I18" s="10" t="s">
        <v>34</v>
      </c>
      <c r="J18" s="10"/>
      <c r="K18" s="10" t="s">
        <v>35</v>
      </c>
      <c r="L18" s="10" t="s">
        <v>73</v>
      </c>
      <c r="M18" s="7" t="s">
        <v>1806</v>
      </c>
      <c r="N18" s="10" t="s">
        <v>1810</v>
      </c>
      <c r="O18" s="7" t="s">
        <v>1811</v>
      </c>
      <c r="P18" s="7" t="s">
        <v>1294</v>
      </c>
      <c r="Q18" s="10" t="s">
        <v>56</v>
      </c>
      <c r="R18" s="10" t="s">
        <v>38</v>
      </c>
      <c r="S18" s="7" t="s">
        <v>39</v>
      </c>
      <c r="T18" s="68"/>
      <c r="U18" s="15" t="s">
        <v>1367</v>
      </c>
      <c r="V18" s="15" t="s">
        <v>1368</v>
      </c>
      <c r="W18" s="15" t="s">
        <v>1366</v>
      </c>
    </row>
    <row r="19" spans="1:23" hidden="1" x14ac:dyDescent="0.25">
      <c r="A19" s="8" t="s">
        <v>165</v>
      </c>
      <c r="B19" s="8">
        <v>361358</v>
      </c>
      <c r="C19" s="8" t="s">
        <v>166</v>
      </c>
      <c r="D19" s="8" t="s">
        <v>167</v>
      </c>
      <c r="E19" s="8" t="s">
        <v>167</v>
      </c>
      <c r="F19" s="8" t="s">
        <v>168</v>
      </c>
      <c r="G19" s="8" t="s">
        <v>169</v>
      </c>
      <c r="H19" s="8" t="s">
        <v>164</v>
      </c>
      <c r="I19" s="8" t="s">
        <v>51</v>
      </c>
      <c r="J19" s="8" t="s">
        <v>52</v>
      </c>
      <c r="K19" s="8" t="s">
        <v>53</v>
      </c>
      <c r="L19" s="8" t="s">
        <v>54</v>
      </c>
      <c r="M19" s="7" t="s">
        <v>55</v>
      </c>
      <c r="N19" s="8" t="e">
        <v>#N/A</v>
      </c>
      <c r="O19" s="7" t="e">
        <v>#N/A</v>
      </c>
      <c r="P19" s="66" t="s">
        <v>1775</v>
      </c>
      <c r="Q19" s="8" t="s">
        <v>74</v>
      </c>
      <c r="R19" s="8" t="s">
        <v>38</v>
      </c>
      <c r="S19" s="8" t="s">
        <v>101</v>
      </c>
      <c r="T19" s="68"/>
      <c r="U19" s="15" t="s">
        <v>1370</v>
      </c>
      <c r="V19" s="15" t="s">
        <v>1371</v>
      </c>
      <c r="W19" s="15" t="s">
        <v>1369</v>
      </c>
    </row>
    <row r="20" spans="1:23" x14ac:dyDescent="0.25">
      <c r="A20" s="10" t="s">
        <v>170</v>
      </c>
      <c r="B20" s="10">
        <v>979865</v>
      </c>
      <c r="C20" s="10" t="s">
        <v>171</v>
      </c>
      <c r="D20" s="10" t="s">
        <v>172</v>
      </c>
      <c r="E20" s="10" t="s">
        <v>172</v>
      </c>
      <c r="F20" s="10" t="s">
        <v>173</v>
      </c>
      <c r="G20" s="10" t="s">
        <v>174</v>
      </c>
      <c r="H20" s="10" t="s">
        <v>175</v>
      </c>
      <c r="I20" s="10" t="s">
        <v>51</v>
      </c>
      <c r="J20" s="10"/>
      <c r="K20" s="10" t="s">
        <v>53</v>
      </c>
      <c r="L20" s="10" t="s">
        <v>64</v>
      </c>
      <c r="M20" s="7" t="s">
        <v>1807</v>
      </c>
      <c r="N20" s="10" t="s">
        <v>1812</v>
      </c>
      <c r="O20" s="7" t="s">
        <v>1813</v>
      </c>
      <c r="P20" s="7" t="s">
        <v>1294</v>
      </c>
      <c r="Q20" s="10" t="s">
        <v>74</v>
      </c>
      <c r="R20" s="10" t="s">
        <v>38</v>
      </c>
      <c r="S20" s="10" t="s">
        <v>116</v>
      </c>
      <c r="T20" s="68"/>
      <c r="U20" s="15" t="s">
        <v>1373</v>
      </c>
      <c r="V20" s="15" t="s">
        <v>1374</v>
      </c>
      <c r="W20" s="15" t="s">
        <v>1372</v>
      </c>
    </row>
    <row r="21" spans="1:23" hidden="1" x14ac:dyDescent="0.25">
      <c r="A21" s="8" t="s">
        <v>176</v>
      </c>
      <c r="B21" s="8">
        <v>361256</v>
      </c>
      <c r="C21" s="8" t="s">
        <v>177</v>
      </c>
      <c r="D21" s="8" t="s">
        <v>178</v>
      </c>
      <c r="E21" s="8" t="s">
        <v>178</v>
      </c>
      <c r="F21" s="8" t="s">
        <v>179</v>
      </c>
      <c r="G21" s="8" t="s">
        <v>180</v>
      </c>
      <c r="H21" s="8" t="s">
        <v>181</v>
      </c>
      <c r="I21" s="8" t="s">
        <v>51</v>
      </c>
      <c r="J21" s="8" t="s">
        <v>52</v>
      </c>
      <c r="K21" s="8" t="s">
        <v>53</v>
      </c>
      <c r="L21" s="8" t="s">
        <v>99</v>
      </c>
      <c r="M21" s="7" t="s">
        <v>182</v>
      </c>
      <c r="N21" s="8" t="e">
        <v>#N/A</v>
      </c>
      <c r="O21" s="7" t="e">
        <v>#N/A</v>
      </c>
      <c r="P21" s="66" t="s">
        <v>1775</v>
      </c>
      <c r="Q21" s="8" t="s">
        <v>74</v>
      </c>
      <c r="R21" s="8" t="s">
        <v>38</v>
      </c>
      <c r="S21" s="8" t="s">
        <v>101</v>
      </c>
      <c r="T21" s="68"/>
      <c r="U21" s="15" t="s">
        <v>1375</v>
      </c>
      <c r="V21" s="15" t="s">
        <v>1377</v>
      </c>
      <c r="W21" s="15" t="s">
        <v>1376</v>
      </c>
    </row>
    <row r="22" spans="1:23" hidden="1" x14ac:dyDescent="0.25">
      <c r="A22" s="10" t="s">
        <v>183</v>
      </c>
      <c r="B22" s="10">
        <v>830457</v>
      </c>
      <c r="C22" s="10" t="s">
        <v>184</v>
      </c>
      <c r="D22" s="10" t="s">
        <v>185</v>
      </c>
      <c r="E22" s="10" t="s">
        <v>185</v>
      </c>
      <c r="F22" s="10" t="s">
        <v>186</v>
      </c>
      <c r="G22" s="10" t="s">
        <v>187</v>
      </c>
      <c r="H22" s="10" t="s">
        <v>188</v>
      </c>
      <c r="I22" s="10" t="s">
        <v>96</v>
      </c>
      <c r="J22" s="10" t="s">
        <v>97</v>
      </c>
      <c r="K22" s="10" t="s">
        <v>98</v>
      </c>
      <c r="L22" s="10" t="s">
        <v>99</v>
      </c>
      <c r="M22" s="7" t="s">
        <v>100</v>
      </c>
      <c r="N22" s="10" t="e">
        <v>#N/A</v>
      </c>
      <c r="O22" s="7" t="e">
        <v>#N/A</v>
      </c>
      <c r="P22" s="66" t="s">
        <v>1775</v>
      </c>
      <c r="Q22" s="10" t="s">
        <v>74</v>
      </c>
      <c r="R22" s="10" t="s">
        <v>38</v>
      </c>
      <c r="S22" s="10" t="s">
        <v>101</v>
      </c>
      <c r="T22" s="68"/>
      <c r="U22" s="15" t="s">
        <v>1322</v>
      </c>
      <c r="V22" s="15" t="s">
        <v>1332</v>
      </c>
      <c r="W22" s="15" t="s">
        <v>1327</v>
      </c>
    </row>
    <row r="23" spans="1:23" x14ac:dyDescent="0.25">
      <c r="A23" s="8" t="s">
        <v>189</v>
      </c>
      <c r="B23" s="8">
        <v>713436</v>
      </c>
      <c r="C23" s="8" t="s">
        <v>190</v>
      </c>
      <c r="D23" s="8" t="s">
        <v>191</v>
      </c>
      <c r="E23" s="8" t="s">
        <v>191</v>
      </c>
      <c r="F23" s="8" t="s">
        <v>192</v>
      </c>
      <c r="G23" s="8" t="s">
        <v>193</v>
      </c>
      <c r="H23" s="8" t="s">
        <v>194</v>
      </c>
      <c r="I23" s="8" t="s">
        <v>51</v>
      </c>
      <c r="J23" s="8"/>
      <c r="K23" s="8" t="s">
        <v>53</v>
      </c>
      <c r="L23" s="8" t="s">
        <v>36</v>
      </c>
      <c r="M23" s="7" t="s">
        <v>1807</v>
      </c>
      <c r="N23" s="8" t="s">
        <v>1812</v>
      </c>
      <c r="O23" s="7" t="s">
        <v>1813</v>
      </c>
      <c r="P23" s="7" t="s">
        <v>1294</v>
      </c>
      <c r="Q23" s="8" t="s">
        <v>37</v>
      </c>
      <c r="R23" s="8" t="s">
        <v>36</v>
      </c>
      <c r="S23" s="8" t="s">
        <v>57</v>
      </c>
      <c r="T23" s="68"/>
      <c r="U23" s="15" t="s">
        <v>1323</v>
      </c>
      <c r="V23" s="15" t="s">
        <v>1333</v>
      </c>
      <c r="W23" s="15" t="s">
        <v>1328</v>
      </c>
    </row>
    <row r="24" spans="1:23" x14ac:dyDescent="0.25">
      <c r="A24" s="10" t="s">
        <v>195</v>
      </c>
      <c r="B24" s="10">
        <v>281437</v>
      </c>
      <c r="C24" s="10" t="s">
        <v>196</v>
      </c>
      <c r="D24" s="10" t="s">
        <v>197</v>
      </c>
      <c r="E24" s="10" t="s">
        <v>197</v>
      </c>
      <c r="F24" s="10" t="s">
        <v>198</v>
      </c>
      <c r="G24" s="10" t="s">
        <v>199</v>
      </c>
      <c r="H24" s="10" t="s">
        <v>200</v>
      </c>
      <c r="I24" s="10" t="s">
        <v>51</v>
      </c>
      <c r="J24" s="10"/>
      <c r="K24" s="10" t="s">
        <v>53</v>
      </c>
      <c r="L24" s="10" t="s">
        <v>36</v>
      </c>
      <c r="M24" s="7" t="s">
        <v>1807</v>
      </c>
      <c r="N24" s="10" t="s">
        <v>1812</v>
      </c>
      <c r="O24" s="7" t="s">
        <v>1813</v>
      </c>
      <c r="P24" s="7" t="s">
        <v>1294</v>
      </c>
      <c r="Q24" s="10" t="s">
        <v>150</v>
      </c>
      <c r="R24" s="10" t="s">
        <v>38</v>
      </c>
      <c r="S24" s="7" t="s">
        <v>57</v>
      </c>
      <c r="T24" s="68"/>
      <c r="U24" s="15" t="s">
        <v>1324</v>
      </c>
      <c r="V24" s="15" t="s">
        <v>1334</v>
      </c>
      <c r="W24" s="15" t="s">
        <v>1329</v>
      </c>
    </row>
    <row r="25" spans="1:23" hidden="1" x14ac:dyDescent="0.25">
      <c r="A25" s="8" t="s">
        <v>201</v>
      </c>
      <c r="B25" s="8">
        <v>830563</v>
      </c>
      <c r="C25" s="8" t="s">
        <v>202</v>
      </c>
      <c r="D25" s="8" t="s">
        <v>203</v>
      </c>
      <c r="E25" s="8" t="s">
        <v>204</v>
      </c>
      <c r="F25" s="8" t="s">
        <v>205</v>
      </c>
      <c r="G25" s="8" t="s">
        <v>206</v>
      </c>
      <c r="H25" s="8" t="s">
        <v>115</v>
      </c>
      <c r="I25" s="8" t="s">
        <v>96</v>
      </c>
      <c r="J25" s="8" t="s">
        <v>123</v>
      </c>
      <c r="K25" s="8" t="s">
        <v>98</v>
      </c>
      <c r="L25" s="8" t="s">
        <v>99</v>
      </c>
      <c r="M25" s="7" t="s">
        <v>100</v>
      </c>
      <c r="N25" s="8" t="e">
        <v>#N/A</v>
      </c>
      <c r="O25" s="7" t="e">
        <v>#N/A</v>
      </c>
      <c r="P25" s="66" t="s">
        <v>1775</v>
      </c>
      <c r="Q25" s="8" t="s">
        <v>74</v>
      </c>
      <c r="R25" s="8" t="s">
        <v>38</v>
      </c>
      <c r="S25" s="8" t="s">
        <v>101</v>
      </c>
      <c r="T25" s="68"/>
      <c r="U25" s="15" t="s">
        <v>1325</v>
      </c>
      <c r="V25" s="15" t="s">
        <v>1335</v>
      </c>
      <c r="W25" s="15" t="s">
        <v>1330</v>
      </c>
    </row>
    <row r="26" spans="1:23" x14ac:dyDescent="0.25">
      <c r="A26" s="10" t="s">
        <v>207</v>
      </c>
      <c r="B26" s="10">
        <v>979836</v>
      </c>
      <c r="C26" s="10" t="s">
        <v>208</v>
      </c>
      <c r="D26" s="10" t="s">
        <v>209</v>
      </c>
      <c r="E26" s="10" t="s">
        <v>209</v>
      </c>
      <c r="F26" s="10" t="s">
        <v>210</v>
      </c>
      <c r="G26" s="10" t="s">
        <v>211</v>
      </c>
      <c r="H26" s="10" t="s">
        <v>212</v>
      </c>
      <c r="I26" s="10" t="s">
        <v>51</v>
      </c>
      <c r="J26" s="10"/>
      <c r="K26" s="10" t="s">
        <v>53</v>
      </c>
      <c r="L26" s="10" t="s">
        <v>64</v>
      </c>
      <c r="M26" s="7" t="s">
        <v>1807</v>
      </c>
      <c r="N26" s="10" t="s">
        <v>1812</v>
      </c>
      <c r="O26" s="7" t="s">
        <v>1813</v>
      </c>
      <c r="P26" s="7" t="s">
        <v>1294</v>
      </c>
      <c r="Q26" s="10" t="s">
        <v>56</v>
      </c>
      <c r="R26" s="10" t="s">
        <v>38</v>
      </c>
      <c r="S26" s="7" t="s">
        <v>116</v>
      </c>
      <c r="T26" s="68"/>
      <c r="U26" s="15" t="s">
        <v>1326</v>
      </c>
      <c r="V26" s="15" t="s">
        <v>1336</v>
      </c>
      <c r="W26" s="15" t="s">
        <v>1331</v>
      </c>
    </row>
    <row r="27" spans="1:23" x14ac:dyDescent="0.25">
      <c r="A27" s="8" t="s">
        <v>213</v>
      </c>
      <c r="B27" s="8">
        <v>409735</v>
      </c>
      <c r="C27" s="8" t="s">
        <v>214</v>
      </c>
      <c r="D27" s="8" t="s">
        <v>215</v>
      </c>
      <c r="E27" s="8" t="s">
        <v>215</v>
      </c>
      <c r="F27" s="8" t="s">
        <v>216</v>
      </c>
      <c r="G27" s="8" t="s">
        <v>217</v>
      </c>
      <c r="H27" s="8" t="s">
        <v>218</v>
      </c>
      <c r="I27" s="8" t="s">
        <v>34</v>
      </c>
      <c r="J27" s="8"/>
      <c r="K27" s="8" t="s">
        <v>35</v>
      </c>
      <c r="L27" s="8" t="s">
        <v>64</v>
      </c>
      <c r="M27" s="7" t="s">
        <v>1806</v>
      </c>
      <c r="N27" s="8" t="s">
        <v>1810</v>
      </c>
      <c r="O27" s="7" t="s">
        <v>1811</v>
      </c>
      <c r="P27" s="7" t="s">
        <v>1294</v>
      </c>
      <c r="Q27" s="8" t="s">
        <v>56</v>
      </c>
      <c r="R27" s="8" t="s">
        <v>38</v>
      </c>
      <c r="S27" s="9" t="s">
        <v>39</v>
      </c>
      <c r="T27" s="68"/>
    </row>
    <row r="28" spans="1:23" hidden="1" x14ac:dyDescent="0.25">
      <c r="A28" s="10" t="s">
        <v>219</v>
      </c>
      <c r="B28" s="10">
        <v>956831</v>
      </c>
      <c r="C28" s="10" t="s">
        <v>220</v>
      </c>
      <c r="D28" s="10" t="s">
        <v>221</v>
      </c>
      <c r="E28" s="10" t="s">
        <v>222</v>
      </c>
      <c r="F28" s="10" t="s">
        <v>223</v>
      </c>
      <c r="G28" s="10" t="s">
        <v>224</v>
      </c>
      <c r="H28" s="10" t="s">
        <v>225</v>
      </c>
      <c r="I28" s="10" t="s">
        <v>96</v>
      </c>
      <c r="J28" s="10" t="s">
        <v>226</v>
      </c>
      <c r="K28" s="10" t="s">
        <v>98</v>
      </c>
      <c r="L28" s="10" t="s">
        <v>54</v>
      </c>
      <c r="M28" s="7" t="s">
        <v>227</v>
      </c>
      <c r="N28" s="10" t="e">
        <v>#N/A</v>
      </c>
      <c r="O28" s="7" t="e">
        <v>#N/A</v>
      </c>
      <c r="P28" s="66" t="s">
        <v>1775</v>
      </c>
      <c r="Q28" s="10" t="s">
        <v>56</v>
      </c>
      <c r="R28" s="10" t="s">
        <v>38</v>
      </c>
      <c r="S28" s="10" t="s">
        <v>101</v>
      </c>
      <c r="T28" s="68"/>
    </row>
    <row r="29" spans="1:23" hidden="1" x14ac:dyDescent="0.25">
      <c r="A29" s="8" t="s">
        <v>228</v>
      </c>
      <c r="B29" s="8">
        <v>361747</v>
      </c>
      <c r="C29" s="8" t="s">
        <v>229</v>
      </c>
      <c r="D29" s="8" t="s">
        <v>230</v>
      </c>
      <c r="E29" s="8" t="s">
        <v>230</v>
      </c>
      <c r="F29" s="8" t="s">
        <v>231</v>
      </c>
      <c r="G29" s="8" t="s">
        <v>232</v>
      </c>
      <c r="H29" s="8" t="s">
        <v>218</v>
      </c>
      <c r="I29" s="8" t="s">
        <v>96</v>
      </c>
      <c r="J29" s="8" t="s">
        <v>97</v>
      </c>
      <c r="K29" s="8" t="s">
        <v>98</v>
      </c>
      <c r="L29" s="8" t="s">
        <v>99</v>
      </c>
      <c r="M29" s="7" t="s">
        <v>182</v>
      </c>
      <c r="N29" s="8" t="e">
        <v>#N/A</v>
      </c>
      <c r="O29" s="7" t="e">
        <v>#N/A</v>
      </c>
      <c r="P29" s="66" t="s">
        <v>1775</v>
      </c>
      <c r="Q29" s="8" t="s">
        <v>74</v>
      </c>
      <c r="R29" s="8" t="s">
        <v>38</v>
      </c>
      <c r="S29" s="8" t="s">
        <v>101</v>
      </c>
      <c r="T29" s="68"/>
    </row>
    <row r="30" spans="1:23" x14ac:dyDescent="0.25">
      <c r="A30" s="10" t="s">
        <v>233</v>
      </c>
      <c r="B30" s="10">
        <v>281497</v>
      </c>
      <c r="C30" s="10" t="s">
        <v>234</v>
      </c>
      <c r="D30" s="10" t="s">
        <v>235</v>
      </c>
      <c r="E30" s="10" t="s">
        <v>235</v>
      </c>
      <c r="F30" s="10" t="s">
        <v>236</v>
      </c>
      <c r="G30" s="10" t="s">
        <v>237</v>
      </c>
      <c r="H30" s="10" t="s">
        <v>238</v>
      </c>
      <c r="I30" s="10" t="s">
        <v>51</v>
      </c>
      <c r="J30" s="10"/>
      <c r="K30" s="10" t="s">
        <v>53</v>
      </c>
      <c r="L30" s="10" t="s">
        <v>73</v>
      </c>
      <c r="M30" s="7" t="s">
        <v>1807</v>
      </c>
      <c r="N30" s="10" t="s">
        <v>1812</v>
      </c>
      <c r="O30" s="7" t="s">
        <v>1813</v>
      </c>
      <c r="P30" s="7" t="s">
        <v>1294</v>
      </c>
      <c r="Q30" s="10" t="s">
        <v>37</v>
      </c>
      <c r="R30" s="10" t="s">
        <v>38</v>
      </c>
      <c r="S30" s="10" t="s">
        <v>57</v>
      </c>
      <c r="T30" s="68"/>
    </row>
    <row r="31" spans="1:23" x14ac:dyDescent="0.25">
      <c r="A31" s="8" t="s">
        <v>239</v>
      </c>
      <c r="B31" s="8">
        <v>409994</v>
      </c>
      <c r="C31" s="8" t="s">
        <v>240</v>
      </c>
      <c r="D31" s="8" t="s">
        <v>241</v>
      </c>
      <c r="E31" s="8" t="s">
        <v>241</v>
      </c>
      <c r="F31" s="8" t="s">
        <v>242</v>
      </c>
      <c r="G31" s="8" t="s">
        <v>243</v>
      </c>
      <c r="H31" s="8" t="s">
        <v>181</v>
      </c>
      <c r="I31" s="8" t="s">
        <v>34</v>
      </c>
      <c r="J31" s="8"/>
      <c r="K31" s="8" t="s">
        <v>35</v>
      </c>
      <c r="L31" s="8" t="s">
        <v>64</v>
      </c>
      <c r="M31" s="7" t="s">
        <v>1806</v>
      </c>
      <c r="N31" s="8" t="s">
        <v>1810</v>
      </c>
      <c r="O31" s="7" t="s">
        <v>1811</v>
      </c>
      <c r="P31" s="7" t="s">
        <v>1294</v>
      </c>
      <c r="Q31" s="8" t="s">
        <v>74</v>
      </c>
      <c r="R31" s="8" t="s">
        <v>38</v>
      </c>
      <c r="S31" s="8" t="s">
        <v>39</v>
      </c>
      <c r="T31" s="68"/>
    </row>
    <row r="32" spans="1:23" hidden="1" x14ac:dyDescent="0.25">
      <c r="A32" s="10" t="s">
        <v>244</v>
      </c>
      <c r="B32" s="10">
        <v>361289</v>
      </c>
      <c r="C32" s="10" t="s">
        <v>245</v>
      </c>
      <c r="D32" s="10" t="s">
        <v>246</v>
      </c>
      <c r="E32" s="10" t="s">
        <v>246</v>
      </c>
      <c r="F32" s="10" t="s">
        <v>247</v>
      </c>
      <c r="G32" s="10" t="s">
        <v>248</v>
      </c>
      <c r="H32" s="10" t="s">
        <v>238</v>
      </c>
      <c r="I32" s="10" t="s">
        <v>51</v>
      </c>
      <c r="J32" s="10" t="s">
        <v>52</v>
      </c>
      <c r="K32" s="10" t="s">
        <v>53</v>
      </c>
      <c r="L32" s="10" t="s">
        <v>54</v>
      </c>
      <c r="M32" s="7" t="s">
        <v>55</v>
      </c>
      <c r="N32" s="10" t="e">
        <v>#N/A</v>
      </c>
      <c r="O32" s="7" t="e">
        <v>#N/A</v>
      </c>
      <c r="P32" s="66" t="s">
        <v>1775</v>
      </c>
      <c r="Q32" s="10" t="s">
        <v>150</v>
      </c>
      <c r="R32" s="10" t="s">
        <v>38</v>
      </c>
      <c r="S32" s="10" t="s">
        <v>101</v>
      </c>
      <c r="T32" s="68"/>
    </row>
    <row r="33" spans="1:20" hidden="1" x14ac:dyDescent="0.25">
      <c r="A33" s="8" t="s">
        <v>249</v>
      </c>
      <c r="B33" s="8">
        <v>361241</v>
      </c>
      <c r="C33" s="8" t="s">
        <v>250</v>
      </c>
      <c r="D33" s="8" t="s">
        <v>251</v>
      </c>
      <c r="E33" s="8" t="s">
        <v>251</v>
      </c>
      <c r="F33" s="8" t="s">
        <v>252</v>
      </c>
      <c r="G33" s="8" t="s">
        <v>253</v>
      </c>
      <c r="H33" s="8" t="s">
        <v>254</v>
      </c>
      <c r="I33" s="8" t="s">
        <v>51</v>
      </c>
      <c r="J33" s="8" t="s">
        <v>52</v>
      </c>
      <c r="K33" s="8" t="s">
        <v>53</v>
      </c>
      <c r="L33" s="8" t="s">
        <v>54</v>
      </c>
      <c r="M33" s="7" t="s">
        <v>55</v>
      </c>
      <c r="N33" s="8" t="e">
        <v>#N/A</v>
      </c>
      <c r="O33" s="7" t="e">
        <v>#N/A</v>
      </c>
      <c r="P33" s="66" t="s">
        <v>1775</v>
      </c>
      <c r="Q33" s="8" t="s">
        <v>56</v>
      </c>
      <c r="R33" s="8" t="s">
        <v>38</v>
      </c>
      <c r="S33" s="8" t="s">
        <v>101</v>
      </c>
      <c r="T33" s="68"/>
    </row>
    <row r="34" spans="1:20" x14ac:dyDescent="0.25">
      <c r="A34" s="10" t="s">
        <v>256</v>
      </c>
      <c r="B34" s="10">
        <v>713222</v>
      </c>
      <c r="C34" s="10" t="s">
        <v>257</v>
      </c>
      <c r="D34" s="10" t="s">
        <v>258</v>
      </c>
      <c r="E34" s="10" t="s">
        <v>259</v>
      </c>
      <c r="F34" s="10" t="s">
        <v>260</v>
      </c>
      <c r="G34" s="10" t="s">
        <v>261</v>
      </c>
      <c r="H34" s="10" t="s">
        <v>262</v>
      </c>
      <c r="I34" s="10" t="s">
        <v>263</v>
      </c>
      <c r="J34" s="10"/>
      <c r="K34" s="10" t="s">
        <v>264</v>
      </c>
      <c r="L34" s="10" t="s">
        <v>82</v>
      </c>
      <c r="M34" s="7" t="s">
        <v>1356</v>
      </c>
      <c r="N34" s="10" t="s">
        <v>1814</v>
      </c>
      <c r="O34" s="7" t="s">
        <v>1815</v>
      </c>
      <c r="P34" s="7" t="s">
        <v>1294</v>
      </c>
      <c r="Q34" s="10" t="s">
        <v>37</v>
      </c>
      <c r="R34" s="10" t="s">
        <v>38</v>
      </c>
      <c r="S34" s="10" t="s">
        <v>89</v>
      </c>
      <c r="T34" s="68"/>
    </row>
    <row r="35" spans="1:20" hidden="1" x14ac:dyDescent="0.25">
      <c r="A35" s="8" t="s">
        <v>265</v>
      </c>
      <c r="B35" s="8">
        <v>830876</v>
      </c>
      <c r="C35" s="8" t="s">
        <v>266</v>
      </c>
      <c r="D35" s="8" t="s">
        <v>267</v>
      </c>
      <c r="E35" s="8" t="s">
        <v>267</v>
      </c>
      <c r="F35" s="8" t="s">
        <v>268</v>
      </c>
      <c r="G35" s="8" t="s">
        <v>269</v>
      </c>
      <c r="H35" s="8" t="s">
        <v>270</v>
      </c>
      <c r="I35" s="8" t="s">
        <v>96</v>
      </c>
      <c r="J35" s="8" t="s">
        <v>97</v>
      </c>
      <c r="K35" s="8" t="s">
        <v>98</v>
      </c>
      <c r="L35" s="8" t="s">
        <v>99</v>
      </c>
      <c r="M35" s="7" t="s">
        <v>100</v>
      </c>
      <c r="N35" s="8" t="e">
        <v>#N/A</v>
      </c>
      <c r="O35" s="7" t="e">
        <v>#N/A</v>
      </c>
      <c r="P35" s="66" t="s">
        <v>1775</v>
      </c>
      <c r="Q35" s="8" t="s">
        <v>74</v>
      </c>
      <c r="R35" s="8" t="s">
        <v>38</v>
      </c>
      <c r="S35" s="9" t="s">
        <v>101</v>
      </c>
      <c r="T35" s="68"/>
    </row>
    <row r="36" spans="1:20" hidden="1" x14ac:dyDescent="0.25">
      <c r="A36" s="10" t="s">
        <v>271</v>
      </c>
      <c r="B36" s="10">
        <v>830999</v>
      </c>
      <c r="C36" s="10" t="s">
        <v>272</v>
      </c>
      <c r="D36" s="10" t="s">
        <v>273</v>
      </c>
      <c r="E36" s="10" t="s">
        <v>273</v>
      </c>
      <c r="F36" s="10" t="s">
        <v>274</v>
      </c>
      <c r="G36" s="10" t="s">
        <v>275</v>
      </c>
      <c r="H36" s="10" t="s">
        <v>276</v>
      </c>
      <c r="I36" s="10" t="s">
        <v>96</v>
      </c>
      <c r="J36" s="10" t="s">
        <v>97</v>
      </c>
      <c r="K36" s="10" t="s">
        <v>98</v>
      </c>
      <c r="L36" s="10" t="s">
        <v>99</v>
      </c>
      <c r="M36" s="7" t="s">
        <v>100</v>
      </c>
      <c r="N36" s="10" t="e">
        <v>#N/A</v>
      </c>
      <c r="O36" s="7" t="e">
        <v>#N/A</v>
      </c>
      <c r="P36" s="66" t="s">
        <v>1775</v>
      </c>
      <c r="Q36" s="10" t="s">
        <v>74</v>
      </c>
      <c r="R36" s="10" t="s">
        <v>38</v>
      </c>
      <c r="S36" s="10" t="s">
        <v>101</v>
      </c>
      <c r="T36" s="68"/>
    </row>
    <row r="37" spans="1:20" hidden="1" x14ac:dyDescent="0.25">
      <c r="A37" s="8" t="s">
        <v>277</v>
      </c>
      <c r="B37" s="8">
        <v>361852</v>
      </c>
      <c r="C37" s="8" t="s">
        <v>278</v>
      </c>
      <c r="D37" s="8" t="s">
        <v>279</v>
      </c>
      <c r="E37" s="8" t="s">
        <v>139</v>
      </c>
      <c r="F37" s="8" t="s">
        <v>280</v>
      </c>
      <c r="G37" s="8" t="s">
        <v>281</v>
      </c>
      <c r="H37" s="8" t="s">
        <v>282</v>
      </c>
      <c r="I37" s="8" t="s">
        <v>51</v>
      </c>
      <c r="J37" s="8" t="s">
        <v>52</v>
      </c>
      <c r="K37" s="8" t="s">
        <v>53</v>
      </c>
      <c r="L37" s="8" t="s">
        <v>54</v>
      </c>
      <c r="M37" s="7" t="s">
        <v>55</v>
      </c>
      <c r="N37" s="8" t="e">
        <v>#N/A</v>
      </c>
      <c r="O37" s="7" t="e">
        <v>#N/A</v>
      </c>
      <c r="P37" s="66" t="s">
        <v>1775</v>
      </c>
      <c r="Q37" s="8" t="s">
        <v>56</v>
      </c>
      <c r="R37" s="8" t="s">
        <v>38</v>
      </c>
      <c r="S37" s="8" t="s">
        <v>101</v>
      </c>
      <c r="T37" s="68"/>
    </row>
    <row r="38" spans="1:20" x14ac:dyDescent="0.25">
      <c r="A38" s="10" t="s">
        <v>283</v>
      </c>
      <c r="B38" s="10">
        <v>281452</v>
      </c>
      <c r="C38" s="10" t="s">
        <v>284</v>
      </c>
      <c r="D38" s="10" t="s">
        <v>285</v>
      </c>
      <c r="E38" s="10" t="s">
        <v>285</v>
      </c>
      <c r="F38" s="10" t="s">
        <v>286</v>
      </c>
      <c r="G38" s="10" t="s">
        <v>287</v>
      </c>
      <c r="H38" s="10" t="s">
        <v>288</v>
      </c>
      <c r="I38" s="10" t="s">
        <v>263</v>
      </c>
      <c r="J38" s="10"/>
      <c r="K38" s="10" t="s">
        <v>264</v>
      </c>
      <c r="L38" s="10" t="s">
        <v>82</v>
      </c>
      <c r="M38" s="7" t="s">
        <v>1356</v>
      </c>
      <c r="N38" s="10" t="s">
        <v>1814</v>
      </c>
      <c r="O38" s="7" t="s">
        <v>1815</v>
      </c>
      <c r="P38" s="7" t="s">
        <v>1294</v>
      </c>
      <c r="Q38" s="10" t="s">
        <v>150</v>
      </c>
      <c r="R38" s="10" t="s">
        <v>38</v>
      </c>
      <c r="S38" s="10" t="s">
        <v>39</v>
      </c>
      <c r="T38" s="68"/>
    </row>
    <row r="39" spans="1:20" x14ac:dyDescent="0.25">
      <c r="A39" s="8" t="s">
        <v>289</v>
      </c>
      <c r="B39" s="8">
        <v>409752</v>
      </c>
      <c r="C39" s="8" t="s">
        <v>290</v>
      </c>
      <c r="D39" s="8" t="s">
        <v>291</v>
      </c>
      <c r="E39" s="8" t="s">
        <v>292</v>
      </c>
      <c r="F39" s="8" t="s">
        <v>293</v>
      </c>
      <c r="G39" s="8" t="s">
        <v>294</v>
      </c>
      <c r="H39" s="8" t="s">
        <v>295</v>
      </c>
      <c r="I39" s="8" t="s">
        <v>34</v>
      </c>
      <c r="J39" s="8"/>
      <c r="K39" s="8" t="s">
        <v>35</v>
      </c>
      <c r="L39" s="8" t="s">
        <v>36</v>
      </c>
      <c r="M39" s="7" t="s">
        <v>1806</v>
      </c>
      <c r="N39" s="8" t="s">
        <v>1810</v>
      </c>
      <c r="O39" s="7" t="s">
        <v>1811</v>
      </c>
      <c r="P39" s="7" t="s">
        <v>1294</v>
      </c>
      <c r="Q39" s="8" t="s">
        <v>56</v>
      </c>
      <c r="R39" s="8" t="s">
        <v>38</v>
      </c>
      <c r="S39" s="9" t="s">
        <v>39</v>
      </c>
      <c r="T39" s="68"/>
    </row>
    <row r="40" spans="1:20" x14ac:dyDescent="0.25">
      <c r="A40" s="10" t="s">
        <v>296</v>
      </c>
      <c r="B40" s="10">
        <v>713651</v>
      </c>
      <c r="C40" s="10" t="s">
        <v>297</v>
      </c>
      <c r="D40" s="10" t="s">
        <v>298</v>
      </c>
      <c r="E40" s="10" t="s">
        <v>299</v>
      </c>
      <c r="F40" s="10" t="s">
        <v>300</v>
      </c>
      <c r="G40" s="10" t="s">
        <v>301</v>
      </c>
      <c r="H40" s="10" t="s">
        <v>254</v>
      </c>
      <c r="I40" s="10" t="s">
        <v>263</v>
      </c>
      <c r="J40" s="10"/>
      <c r="K40" s="10" t="s">
        <v>264</v>
      </c>
      <c r="L40" s="10" t="s">
        <v>82</v>
      </c>
      <c r="M40" s="7" t="s">
        <v>1356</v>
      </c>
      <c r="N40" s="10" t="s">
        <v>1814</v>
      </c>
      <c r="O40" s="7" t="s">
        <v>1815</v>
      </c>
      <c r="P40" s="7" t="s">
        <v>1294</v>
      </c>
      <c r="Q40" s="10" t="s">
        <v>37</v>
      </c>
      <c r="R40" s="10" t="s">
        <v>38</v>
      </c>
      <c r="S40" s="10" t="s">
        <v>89</v>
      </c>
      <c r="T40" s="68"/>
    </row>
    <row r="41" spans="1:20" x14ac:dyDescent="0.25">
      <c r="A41" s="8" t="s">
        <v>302</v>
      </c>
      <c r="B41" s="8">
        <v>281592</v>
      </c>
      <c r="C41" s="8" t="s">
        <v>303</v>
      </c>
      <c r="D41" s="8" t="s">
        <v>304</v>
      </c>
      <c r="E41" s="8" t="s">
        <v>305</v>
      </c>
      <c r="F41" s="8" t="s">
        <v>306</v>
      </c>
      <c r="G41" s="8" t="s">
        <v>307</v>
      </c>
      <c r="H41" s="8" t="s">
        <v>308</v>
      </c>
      <c r="I41" s="8" t="s">
        <v>34</v>
      </c>
      <c r="J41" s="8"/>
      <c r="K41" s="8" t="s">
        <v>35</v>
      </c>
      <c r="L41" s="8" t="s">
        <v>36</v>
      </c>
      <c r="M41" s="7" t="s">
        <v>1806</v>
      </c>
      <c r="N41" s="8" t="s">
        <v>1810</v>
      </c>
      <c r="O41" s="7" t="s">
        <v>1811</v>
      </c>
      <c r="P41" s="7" t="s">
        <v>1294</v>
      </c>
      <c r="Q41" s="8" t="s">
        <v>56</v>
      </c>
      <c r="R41" s="8" t="s">
        <v>38</v>
      </c>
      <c r="S41" s="8" t="s">
        <v>39</v>
      </c>
      <c r="T41" s="68"/>
    </row>
    <row r="42" spans="1:20" x14ac:dyDescent="0.25">
      <c r="A42" s="10" t="s">
        <v>309</v>
      </c>
      <c r="B42" s="10">
        <v>979265</v>
      </c>
      <c r="C42" s="10" t="s">
        <v>310</v>
      </c>
      <c r="D42" s="10" t="s">
        <v>311</v>
      </c>
      <c r="E42" s="10" t="s">
        <v>312</v>
      </c>
      <c r="F42" s="10" t="s">
        <v>313</v>
      </c>
      <c r="G42" s="10" t="s">
        <v>314</v>
      </c>
      <c r="H42" s="10" t="s">
        <v>315</v>
      </c>
      <c r="I42" s="10" t="s">
        <v>71</v>
      </c>
      <c r="J42" s="10"/>
      <c r="K42" s="10" t="s">
        <v>72</v>
      </c>
      <c r="L42" s="10" t="s">
        <v>82</v>
      </c>
      <c r="M42" s="7" t="s">
        <v>1808</v>
      </c>
      <c r="N42" s="10" t="s">
        <v>1814</v>
      </c>
      <c r="O42" s="7" t="s">
        <v>1815</v>
      </c>
      <c r="P42" s="7" t="s">
        <v>1294</v>
      </c>
      <c r="Q42" s="10" t="s">
        <v>150</v>
      </c>
      <c r="R42" s="10" t="s">
        <v>38</v>
      </c>
      <c r="S42" s="10" t="s">
        <v>89</v>
      </c>
      <c r="T42" s="68"/>
    </row>
    <row r="43" spans="1:20" x14ac:dyDescent="0.25">
      <c r="A43" s="8" t="s">
        <v>316</v>
      </c>
      <c r="B43" s="8">
        <v>979732</v>
      </c>
      <c r="C43" s="8" t="s">
        <v>317</v>
      </c>
      <c r="D43" s="8" t="s">
        <v>318</v>
      </c>
      <c r="E43" s="8" t="s">
        <v>319</v>
      </c>
      <c r="F43" s="8" t="s">
        <v>320</v>
      </c>
      <c r="G43" s="8" t="s">
        <v>321</v>
      </c>
      <c r="H43" s="8" t="s">
        <v>322</v>
      </c>
      <c r="I43" s="8" t="s">
        <v>51</v>
      </c>
      <c r="J43" s="8"/>
      <c r="K43" s="8" t="s">
        <v>53</v>
      </c>
      <c r="L43" s="8" t="s">
        <v>64</v>
      </c>
      <c r="M43" s="7" t="s">
        <v>1807</v>
      </c>
      <c r="N43" s="8" t="s">
        <v>1812</v>
      </c>
      <c r="O43" s="7" t="s">
        <v>1813</v>
      </c>
      <c r="P43" s="7" t="s">
        <v>1294</v>
      </c>
      <c r="Q43" s="8" t="s">
        <v>74</v>
      </c>
      <c r="R43" s="8" t="s">
        <v>38</v>
      </c>
      <c r="S43" s="9" t="s">
        <v>57</v>
      </c>
      <c r="T43" s="68"/>
    </row>
    <row r="44" spans="1:20" x14ac:dyDescent="0.25">
      <c r="A44" s="10" t="s">
        <v>323</v>
      </c>
      <c r="B44" s="10">
        <v>936398</v>
      </c>
      <c r="C44" s="10" t="s">
        <v>324</v>
      </c>
      <c r="D44" s="10" t="s">
        <v>325</v>
      </c>
      <c r="E44" s="10" t="s">
        <v>326</v>
      </c>
      <c r="F44" s="10" t="s">
        <v>327</v>
      </c>
      <c r="G44" s="10" t="s">
        <v>328</v>
      </c>
      <c r="H44" s="10" t="s">
        <v>329</v>
      </c>
      <c r="I44" s="10" t="s">
        <v>34</v>
      </c>
      <c r="J44" s="10"/>
      <c r="K44" s="10" t="s">
        <v>35</v>
      </c>
      <c r="L44" s="10" t="s">
        <v>82</v>
      </c>
      <c r="M44" s="7" t="s">
        <v>1806</v>
      </c>
      <c r="N44" s="10" t="s">
        <v>1810</v>
      </c>
      <c r="O44" s="7" t="s">
        <v>1811</v>
      </c>
      <c r="P44" s="7" t="s">
        <v>1294</v>
      </c>
      <c r="Q44" s="10" t="s">
        <v>74</v>
      </c>
      <c r="R44" s="10" t="s">
        <v>38</v>
      </c>
      <c r="S44" s="7" t="s">
        <v>39</v>
      </c>
      <c r="T44" s="68"/>
    </row>
    <row r="45" spans="1:20" hidden="1" x14ac:dyDescent="0.25">
      <c r="A45" s="8" t="s">
        <v>330</v>
      </c>
      <c r="B45" s="8">
        <v>830879</v>
      </c>
      <c r="C45" s="8" t="s">
        <v>331</v>
      </c>
      <c r="D45" s="8" t="s">
        <v>332</v>
      </c>
      <c r="E45" s="8" t="s">
        <v>332</v>
      </c>
      <c r="F45" s="8" t="s">
        <v>333</v>
      </c>
      <c r="G45" s="8" t="s">
        <v>334</v>
      </c>
      <c r="H45" s="8" t="s">
        <v>322</v>
      </c>
      <c r="I45" s="8" t="s">
        <v>96</v>
      </c>
      <c r="J45" s="8" t="s">
        <v>123</v>
      </c>
      <c r="K45" s="8" t="s">
        <v>98</v>
      </c>
      <c r="L45" s="8" t="s">
        <v>99</v>
      </c>
      <c r="M45" s="7" t="s">
        <v>100</v>
      </c>
      <c r="N45" s="8" t="e">
        <v>#N/A</v>
      </c>
      <c r="O45" s="7" t="e">
        <v>#N/A</v>
      </c>
      <c r="P45" s="66" t="s">
        <v>1775</v>
      </c>
      <c r="Q45" s="8" t="s">
        <v>74</v>
      </c>
      <c r="R45" s="8" t="s">
        <v>38</v>
      </c>
      <c r="S45" s="9" t="s">
        <v>101</v>
      </c>
      <c r="T45" s="68"/>
    </row>
    <row r="46" spans="1:20" hidden="1" x14ac:dyDescent="0.25">
      <c r="A46" s="10" t="s">
        <v>335</v>
      </c>
      <c r="B46" s="10">
        <v>830374</v>
      </c>
      <c r="C46" s="10" t="s">
        <v>336</v>
      </c>
      <c r="D46" s="10" t="s">
        <v>337</v>
      </c>
      <c r="E46" s="10" t="s">
        <v>337</v>
      </c>
      <c r="F46" s="10" t="s">
        <v>338</v>
      </c>
      <c r="G46" s="10" t="s">
        <v>339</v>
      </c>
      <c r="H46" s="10" t="s">
        <v>340</v>
      </c>
      <c r="I46" s="10" t="s">
        <v>96</v>
      </c>
      <c r="J46" s="10" t="s">
        <v>97</v>
      </c>
      <c r="K46" s="10" t="s">
        <v>98</v>
      </c>
      <c r="L46" s="10" t="s">
        <v>99</v>
      </c>
      <c r="M46" s="7" t="s">
        <v>100</v>
      </c>
      <c r="N46" s="10" t="e">
        <v>#N/A</v>
      </c>
      <c r="O46" s="7" t="e">
        <v>#N/A</v>
      </c>
      <c r="P46" s="66" t="s">
        <v>1775</v>
      </c>
      <c r="Q46" s="10" t="s">
        <v>74</v>
      </c>
      <c r="R46" s="10" t="s">
        <v>38</v>
      </c>
      <c r="S46" s="10" t="s">
        <v>101</v>
      </c>
      <c r="T46" s="68"/>
    </row>
    <row r="47" spans="1:20" hidden="1" x14ac:dyDescent="0.25">
      <c r="A47" s="8" t="s">
        <v>341</v>
      </c>
      <c r="B47" s="8">
        <v>361275</v>
      </c>
      <c r="C47" s="8" t="s">
        <v>342</v>
      </c>
      <c r="D47" s="8" t="s">
        <v>343</v>
      </c>
      <c r="E47" s="8" t="s">
        <v>343</v>
      </c>
      <c r="F47" s="8" t="s">
        <v>344</v>
      </c>
      <c r="G47" s="8" t="s">
        <v>345</v>
      </c>
      <c r="H47" s="8" t="s">
        <v>255</v>
      </c>
      <c r="I47" s="8" t="s">
        <v>71</v>
      </c>
      <c r="J47" s="8"/>
      <c r="K47" s="8" t="s">
        <v>72</v>
      </c>
      <c r="L47" s="8" t="s">
        <v>54</v>
      </c>
      <c r="M47" s="7" t="s">
        <v>346</v>
      </c>
      <c r="N47" s="8" t="e">
        <v>#N/A</v>
      </c>
      <c r="O47" s="7" t="e">
        <v>#N/A</v>
      </c>
      <c r="P47" s="66" t="s">
        <v>1775</v>
      </c>
      <c r="Q47" s="8" t="s">
        <v>74</v>
      </c>
      <c r="R47" s="8" t="s">
        <v>38</v>
      </c>
      <c r="S47" s="8" t="s">
        <v>101</v>
      </c>
      <c r="T47" s="68"/>
    </row>
    <row r="48" spans="1:20" x14ac:dyDescent="0.25">
      <c r="A48" s="10" t="s">
        <v>347</v>
      </c>
      <c r="B48" s="10">
        <v>281373</v>
      </c>
      <c r="C48" s="10" t="s">
        <v>348</v>
      </c>
      <c r="D48" s="10" t="s">
        <v>349</v>
      </c>
      <c r="E48" s="10" t="s">
        <v>349</v>
      </c>
      <c r="F48" s="10" t="s">
        <v>350</v>
      </c>
      <c r="G48" s="10" t="s">
        <v>351</v>
      </c>
      <c r="H48" s="10" t="s">
        <v>352</v>
      </c>
      <c r="I48" s="10" t="s">
        <v>108</v>
      </c>
      <c r="J48" s="10"/>
      <c r="K48" s="10" t="s">
        <v>109</v>
      </c>
      <c r="L48" s="10" t="s">
        <v>64</v>
      </c>
      <c r="M48" s="7" t="s">
        <v>1804</v>
      </c>
      <c r="N48" s="10" t="s">
        <v>1816</v>
      </c>
      <c r="O48" s="7" t="s">
        <v>1817</v>
      </c>
      <c r="P48" s="7" t="s">
        <v>1294</v>
      </c>
      <c r="Q48" s="10" t="s">
        <v>56</v>
      </c>
      <c r="R48" s="10" t="s">
        <v>38</v>
      </c>
      <c r="S48" s="10" t="s">
        <v>116</v>
      </c>
      <c r="T48" s="68"/>
    </row>
    <row r="49" spans="1:20" x14ac:dyDescent="0.25">
      <c r="A49" s="8" t="s">
        <v>353</v>
      </c>
      <c r="B49" s="8">
        <v>979922</v>
      </c>
      <c r="C49" s="8" t="s">
        <v>354</v>
      </c>
      <c r="D49" s="8" t="s">
        <v>355</v>
      </c>
      <c r="E49" s="8" t="s">
        <v>356</v>
      </c>
      <c r="F49" s="8" t="s">
        <v>357</v>
      </c>
      <c r="G49" s="8" t="s">
        <v>358</v>
      </c>
      <c r="H49" s="8" t="s">
        <v>359</v>
      </c>
      <c r="I49" s="8" t="s">
        <v>71</v>
      </c>
      <c r="J49" s="8"/>
      <c r="K49" s="8" t="s">
        <v>72</v>
      </c>
      <c r="L49" s="8" t="s">
        <v>82</v>
      </c>
      <c r="M49" s="7" t="s">
        <v>1808</v>
      </c>
      <c r="N49" s="8" t="s">
        <v>1814</v>
      </c>
      <c r="O49" s="7" t="s">
        <v>1815</v>
      </c>
      <c r="P49" s="7" t="s">
        <v>1294</v>
      </c>
      <c r="Q49" s="8" t="s">
        <v>74</v>
      </c>
      <c r="R49" s="8" t="s">
        <v>38</v>
      </c>
      <c r="S49" s="8" t="s">
        <v>89</v>
      </c>
      <c r="T49" s="68"/>
    </row>
    <row r="50" spans="1:20" x14ac:dyDescent="0.25">
      <c r="A50" s="10" t="s">
        <v>360</v>
      </c>
      <c r="B50" s="10">
        <v>936258</v>
      </c>
      <c r="C50" s="10" t="s">
        <v>361</v>
      </c>
      <c r="D50" s="10" t="s">
        <v>362</v>
      </c>
      <c r="E50" s="10" t="s">
        <v>362</v>
      </c>
      <c r="F50" s="10" t="s">
        <v>363</v>
      </c>
      <c r="G50" s="10" t="s">
        <v>364</v>
      </c>
      <c r="H50" s="10" t="s">
        <v>365</v>
      </c>
      <c r="I50" s="10" t="s">
        <v>34</v>
      </c>
      <c r="J50" s="10"/>
      <c r="K50" s="10" t="s">
        <v>35</v>
      </c>
      <c r="L50" s="10" t="s">
        <v>82</v>
      </c>
      <c r="M50" s="7" t="s">
        <v>1806</v>
      </c>
      <c r="N50" s="10" t="s">
        <v>1810</v>
      </c>
      <c r="O50" s="7" t="s">
        <v>1811</v>
      </c>
      <c r="P50" s="7" t="s">
        <v>1294</v>
      </c>
      <c r="Q50" s="10" t="s">
        <v>56</v>
      </c>
      <c r="R50" s="10" t="s">
        <v>38</v>
      </c>
      <c r="S50" s="10" t="s">
        <v>39</v>
      </c>
      <c r="T50" s="68"/>
    </row>
    <row r="51" spans="1:20" x14ac:dyDescent="0.25">
      <c r="A51" s="8" t="s">
        <v>366</v>
      </c>
      <c r="B51" s="8">
        <v>281479</v>
      </c>
      <c r="C51" s="8" t="s">
        <v>367</v>
      </c>
      <c r="D51" s="8" t="s">
        <v>368</v>
      </c>
      <c r="E51" s="8" t="s">
        <v>368</v>
      </c>
      <c r="F51" s="8" t="s">
        <v>369</v>
      </c>
      <c r="G51" s="8" t="s">
        <v>370</v>
      </c>
      <c r="H51" s="8" t="s">
        <v>371</v>
      </c>
      <c r="I51" s="8" t="s">
        <v>71</v>
      </c>
      <c r="J51" s="8"/>
      <c r="K51" s="8" t="s">
        <v>72</v>
      </c>
      <c r="L51" s="8" t="s">
        <v>36</v>
      </c>
      <c r="M51" s="7" t="s">
        <v>1808</v>
      </c>
      <c r="N51" s="8" t="s">
        <v>1814</v>
      </c>
      <c r="O51" s="7" t="s">
        <v>1815</v>
      </c>
      <c r="P51" s="7" t="s">
        <v>1294</v>
      </c>
      <c r="Q51" s="8" t="s">
        <v>150</v>
      </c>
      <c r="R51" s="8" t="s">
        <v>38</v>
      </c>
      <c r="S51" s="8" t="s">
        <v>89</v>
      </c>
      <c r="T51" s="68"/>
    </row>
    <row r="52" spans="1:20" hidden="1" x14ac:dyDescent="0.25">
      <c r="A52" s="10" t="s">
        <v>372</v>
      </c>
      <c r="B52" s="10">
        <v>830663</v>
      </c>
      <c r="C52" s="10" t="s">
        <v>373</v>
      </c>
      <c r="D52" s="10" t="s">
        <v>374</v>
      </c>
      <c r="E52" s="10" t="s">
        <v>374</v>
      </c>
      <c r="F52" s="10" t="s">
        <v>375</v>
      </c>
      <c r="G52" s="10" t="s">
        <v>376</v>
      </c>
      <c r="H52" s="10" t="s">
        <v>377</v>
      </c>
      <c r="I52" s="10" t="s">
        <v>96</v>
      </c>
      <c r="J52" s="10" t="s">
        <v>123</v>
      </c>
      <c r="K52" s="10" t="s">
        <v>98</v>
      </c>
      <c r="L52" s="10" t="s">
        <v>99</v>
      </c>
      <c r="M52" s="7" t="s">
        <v>100</v>
      </c>
      <c r="N52" s="10" t="e">
        <v>#N/A</v>
      </c>
      <c r="O52" s="7" t="e">
        <v>#N/A</v>
      </c>
      <c r="P52" s="66" t="s">
        <v>1775</v>
      </c>
      <c r="Q52" s="10" t="s">
        <v>74</v>
      </c>
      <c r="R52" s="10" t="s">
        <v>38</v>
      </c>
      <c r="S52" s="7" t="s">
        <v>101</v>
      </c>
      <c r="T52" s="68"/>
    </row>
    <row r="53" spans="1:20" x14ac:dyDescent="0.25">
      <c r="A53" s="8" t="s">
        <v>378</v>
      </c>
      <c r="B53" s="8">
        <v>409746</v>
      </c>
      <c r="C53" s="8" t="s">
        <v>379</v>
      </c>
      <c r="D53" s="8" t="s">
        <v>380</v>
      </c>
      <c r="E53" s="8" t="s">
        <v>380</v>
      </c>
      <c r="F53" s="8" t="s">
        <v>381</v>
      </c>
      <c r="G53" s="8" t="s">
        <v>382</v>
      </c>
      <c r="H53" s="8" t="s">
        <v>377</v>
      </c>
      <c r="I53" s="8" t="s">
        <v>34</v>
      </c>
      <c r="J53" s="8"/>
      <c r="K53" s="8" t="s">
        <v>35</v>
      </c>
      <c r="L53" s="8" t="s">
        <v>73</v>
      </c>
      <c r="M53" s="7" t="s">
        <v>1806</v>
      </c>
      <c r="N53" s="8" t="s">
        <v>1810</v>
      </c>
      <c r="O53" s="7" t="s">
        <v>1811</v>
      </c>
      <c r="P53" s="7" t="s">
        <v>1294</v>
      </c>
      <c r="Q53" s="8" t="s">
        <v>56</v>
      </c>
      <c r="R53" s="8" t="s">
        <v>38</v>
      </c>
      <c r="S53" s="9" t="s">
        <v>39</v>
      </c>
      <c r="T53" s="68"/>
    </row>
    <row r="54" spans="1:20" hidden="1" x14ac:dyDescent="0.25">
      <c r="A54" s="10" t="s">
        <v>383</v>
      </c>
      <c r="B54" s="10">
        <v>956464</v>
      </c>
      <c r="C54" s="10" t="s">
        <v>384</v>
      </c>
      <c r="D54" s="10" t="s">
        <v>385</v>
      </c>
      <c r="E54" s="10" t="s">
        <v>385</v>
      </c>
      <c r="F54" s="10" t="s">
        <v>386</v>
      </c>
      <c r="G54" s="10" t="s">
        <v>387</v>
      </c>
      <c r="H54" s="10" t="s">
        <v>388</v>
      </c>
      <c r="I54" s="10" t="s">
        <v>96</v>
      </c>
      <c r="J54" s="10" t="s">
        <v>389</v>
      </c>
      <c r="K54" s="10" t="s">
        <v>98</v>
      </c>
      <c r="L54" s="10" t="s">
        <v>99</v>
      </c>
      <c r="M54" s="7" t="s">
        <v>390</v>
      </c>
      <c r="N54" s="10" t="e">
        <v>#N/A</v>
      </c>
      <c r="O54" s="7" t="e">
        <v>#N/A</v>
      </c>
      <c r="P54" s="66" t="s">
        <v>1775</v>
      </c>
      <c r="Q54" s="10" t="s">
        <v>56</v>
      </c>
      <c r="R54" s="10" t="s">
        <v>38</v>
      </c>
      <c r="S54" s="10" t="s">
        <v>101</v>
      </c>
      <c r="T54" s="68"/>
    </row>
    <row r="55" spans="1:20" x14ac:dyDescent="0.25">
      <c r="A55" s="8" t="s">
        <v>391</v>
      </c>
      <c r="B55" s="8">
        <v>979234</v>
      </c>
      <c r="C55" s="8" t="s">
        <v>392</v>
      </c>
      <c r="D55" s="8" t="s">
        <v>393</v>
      </c>
      <c r="E55" s="8" t="s">
        <v>394</v>
      </c>
      <c r="F55" s="8" t="s">
        <v>395</v>
      </c>
      <c r="G55" s="8" t="s">
        <v>396</v>
      </c>
      <c r="H55" s="8" t="s">
        <v>397</v>
      </c>
      <c r="I55" s="8" t="s">
        <v>51</v>
      </c>
      <c r="J55" s="8"/>
      <c r="K55" s="8" t="s">
        <v>53</v>
      </c>
      <c r="L55" s="8" t="s">
        <v>64</v>
      </c>
      <c r="M55" s="7" t="s">
        <v>1807</v>
      </c>
      <c r="N55" s="8" t="s">
        <v>1812</v>
      </c>
      <c r="O55" s="7" t="s">
        <v>1813</v>
      </c>
      <c r="P55" s="7" t="s">
        <v>1294</v>
      </c>
      <c r="Q55" s="8" t="s">
        <v>74</v>
      </c>
      <c r="R55" s="8" t="s">
        <v>38</v>
      </c>
      <c r="S55" s="8" t="s">
        <v>57</v>
      </c>
      <c r="T55" s="68"/>
    </row>
    <row r="56" spans="1:20" hidden="1" x14ac:dyDescent="0.25">
      <c r="A56" s="10" t="s">
        <v>398</v>
      </c>
      <c r="B56" s="10">
        <v>830773</v>
      </c>
      <c r="C56" s="10" t="s">
        <v>399</v>
      </c>
      <c r="D56" s="10" t="s">
        <v>400</v>
      </c>
      <c r="E56" s="10" t="s">
        <v>400</v>
      </c>
      <c r="F56" s="10" t="s">
        <v>401</v>
      </c>
      <c r="G56" s="10" t="s">
        <v>402</v>
      </c>
      <c r="H56" s="10" t="s">
        <v>403</v>
      </c>
      <c r="I56" s="10" t="s">
        <v>96</v>
      </c>
      <c r="J56" s="10" t="s">
        <v>97</v>
      </c>
      <c r="K56" s="10" t="s">
        <v>98</v>
      </c>
      <c r="L56" s="10" t="s">
        <v>99</v>
      </c>
      <c r="M56" s="7" t="s">
        <v>100</v>
      </c>
      <c r="N56" s="10" t="e">
        <v>#N/A</v>
      </c>
      <c r="O56" s="7" t="e">
        <v>#N/A</v>
      </c>
      <c r="P56" s="66" t="s">
        <v>1775</v>
      </c>
      <c r="Q56" s="10" t="s">
        <v>74</v>
      </c>
      <c r="R56" s="10" t="s">
        <v>38</v>
      </c>
      <c r="S56" s="7" t="s">
        <v>101</v>
      </c>
      <c r="T56" s="68"/>
    </row>
    <row r="57" spans="1:20" x14ac:dyDescent="0.25">
      <c r="A57" s="8" t="s">
        <v>404</v>
      </c>
      <c r="B57" s="8">
        <v>281458</v>
      </c>
      <c r="C57" s="8" t="s">
        <v>405</v>
      </c>
      <c r="D57" s="8" t="s">
        <v>406</v>
      </c>
      <c r="E57" s="8" t="s">
        <v>407</v>
      </c>
      <c r="F57" s="8" t="s">
        <v>408</v>
      </c>
      <c r="G57" s="8" t="s">
        <v>409</v>
      </c>
      <c r="H57" s="8" t="s">
        <v>410</v>
      </c>
      <c r="I57" s="8" t="s">
        <v>34</v>
      </c>
      <c r="J57" s="8"/>
      <c r="K57" s="8" t="s">
        <v>35</v>
      </c>
      <c r="L57" s="8" t="s">
        <v>36</v>
      </c>
      <c r="M57" s="7" t="s">
        <v>1806</v>
      </c>
      <c r="N57" s="8" t="s">
        <v>1810</v>
      </c>
      <c r="O57" s="7" t="s">
        <v>1811</v>
      </c>
      <c r="P57" s="7" t="s">
        <v>1294</v>
      </c>
      <c r="Q57" s="8" t="s">
        <v>150</v>
      </c>
      <c r="R57" s="8" t="s">
        <v>38</v>
      </c>
      <c r="S57" s="8" t="s">
        <v>39</v>
      </c>
      <c r="T57" s="68"/>
    </row>
    <row r="58" spans="1:20" hidden="1" x14ac:dyDescent="0.25">
      <c r="A58" s="10" t="s">
        <v>411</v>
      </c>
      <c r="B58" s="10">
        <v>956262</v>
      </c>
      <c r="C58" s="10" t="s">
        <v>412</v>
      </c>
      <c r="D58" s="10" t="s">
        <v>413</v>
      </c>
      <c r="E58" s="10" t="s">
        <v>413</v>
      </c>
      <c r="F58" s="10" t="s">
        <v>414</v>
      </c>
      <c r="G58" s="10" t="s">
        <v>415</v>
      </c>
      <c r="H58" s="10" t="s">
        <v>410</v>
      </c>
      <c r="I58" s="10" t="s">
        <v>96</v>
      </c>
      <c r="J58" s="10" t="s">
        <v>389</v>
      </c>
      <c r="K58" s="10" t="s">
        <v>98</v>
      </c>
      <c r="L58" s="10" t="s">
        <v>99</v>
      </c>
      <c r="M58" s="7" t="s">
        <v>390</v>
      </c>
      <c r="N58" s="10" t="e">
        <v>#N/A</v>
      </c>
      <c r="O58" s="7" t="e">
        <v>#N/A</v>
      </c>
      <c r="P58" s="66" t="s">
        <v>1775</v>
      </c>
      <c r="Q58" s="10" t="s">
        <v>56</v>
      </c>
      <c r="R58" s="10" t="s">
        <v>38</v>
      </c>
      <c r="S58" s="10" t="s">
        <v>101</v>
      </c>
      <c r="T58" s="68"/>
    </row>
    <row r="59" spans="1:20" hidden="1" x14ac:dyDescent="0.25">
      <c r="A59" s="8" t="s">
        <v>416</v>
      </c>
      <c r="B59" s="8">
        <v>956383</v>
      </c>
      <c r="C59" s="8" t="s">
        <v>417</v>
      </c>
      <c r="D59" s="8" t="s">
        <v>418</v>
      </c>
      <c r="E59" s="8" t="s">
        <v>418</v>
      </c>
      <c r="F59" s="8" t="s">
        <v>419</v>
      </c>
      <c r="G59" s="8" t="s">
        <v>420</v>
      </c>
      <c r="H59" s="8" t="s">
        <v>421</v>
      </c>
      <c r="I59" s="8" t="s">
        <v>96</v>
      </c>
      <c r="J59" s="8" t="s">
        <v>389</v>
      </c>
      <c r="K59" s="8" t="s">
        <v>98</v>
      </c>
      <c r="L59" s="8" t="s">
        <v>99</v>
      </c>
      <c r="M59" s="7" t="s">
        <v>390</v>
      </c>
      <c r="N59" s="8" t="e">
        <v>#N/A</v>
      </c>
      <c r="O59" s="7" t="e">
        <v>#N/A</v>
      </c>
      <c r="P59" s="66" t="s">
        <v>1775</v>
      </c>
      <c r="Q59" s="8" t="s">
        <v>56</v>
      </c>
      <c r="R59" s="8" t="s">
        <v>38</v>
      </c>
      <c r="S59" s="8" t="s">
        <v>101</v>
      </c>
      <c r="T59" s="68"/>
    </row>
    <row r="60" spans="1:20" hidden="1" x14ac:dyDescent="0.25">
      <c r="A60" s="10" t="s">
        <v>422</v>
      </c>
      <c r="B60" s="10">
        <v>361782</v>
      </c>
      <c r="C60" s="10" t="s">
        <v>423</v>
      </c>
      <c r="D60" s="10" t="s">
        <v>424</v>
      </c>
      <c r="E60" s="10" t="s">
        <v>424</v>
      </c>
      <c r="F60" s="10" t="s">
        <v>425</v>
      </c>
      <c r="G60" s="10" t="s">
        <v>426</v>
      </c>
      <c r="H60" s="10" t="s">
        <v>427</v>
      </c>
      <c r="I60" s="10" t="s">
        <v>71</v>
      </c>
      <c r="J60" s="10"/>
      <c r="K60" s="10" t="s">
        <v>72</v>
      </c>
      <c r="L60" s="10" t="s">
        <v>54</v>
      </c>
      <c r="M60" s="7" t="s">
        <v>346</v>
      </c>
      <c r="N60" s="10" t="e">
        <v>#N/A</v>
      </c>
      <c r="O60" s="7" t="e">
        <v>#N/A</v>
      </c>
      <c r="P60" s="66" t="s">
        <v>1775</v>
      </c>
      <c r="Q60" s="10" t="s">
        <v>74</v>
      </c>
      <c r="R60" s="10" t="s">
        <v>38</v>
      </c>
      <c r="S60" s="10" t="s">
        <v>101</v>
      </c>
      <c r="T60" s="68"/>
    </row>
    <row r="61" spans="1:20" x14ac:dyDescent="0.25">
      <c r="A61" s="8" t="s">
        <v>428</v>
      </c>
      <c r="B61" s="8">
        <v>979543</v>
      </c>
      <c r="C61" s="8" t="s">
        <v>429</v>
      </c>
      <c r="D61" s="8" t="s">
        <v>430</v>
      </c>
      <c r="E61" s="8" t="s">
        <v>431</v>
      </c>
      <c r="F61" s="8" t="s">
        <v>432</v>
      </c>
      <c r="G61" s="8" t="s">
        <v>433</v>
      </c>
      <c r="H61" s="8" t="s">
        <v>434</v>
      </c>
      <c r="I61" s="8" t="s">
        <v>71</v>
      </c>
      <c r="J61" s="8"/>
      <c r="K61" s="8" t="s">
        <v>72</v>
      </c>
      <c r="L61" s="8" t="s">
        <v>82</v>
      </c>
      <c r="M61" s="7" t="s">
        <v>1808</v>
      </c>
      <c r="N61" s="8" t="s">
        <v>1814</v>
      </c>
      <c r="O61" s="7" t="s">
        <v>1815</v>
      </c>
      <c r="P61" s="7" t="s">
        <v>1294</v>
      </c>
      <c r="Q61" s="8" t="s">
        <v>74</v>
      </c>
      <c r="R61" s="8" t="s">
        <v>38</v>
      </c>
      <c r="S61" s="8" t="s">
        <v>57</v>
      </c>
      <c r="T61" s="68"/>
    </row>
    <row r="62" spans="1:20" x14ac:dyDescent="0.25">
      <c r="A62" s="10" t="s">
        <v>435</v>
      </c>
      <c r="B62" s="10">
        <v>281487</v>
      </c>
      <c r="C62" s="10" t="s">
        <v>436</v>
      </c>
      <c r="D62" s="10" t="s">
        <v>437</v>
      </c>
      <c r="E62" s="10" t="s">
        <v>438</v>
      </c>
      <c r="F62" s="10" t="s">
        <v>439</v>
      </c>
      <c r="G62" s="10" t="s">
        <v>440</v>
      </c>
      <c r="H62" s="10" t="s">
        <v>441</v>
      </c>
      <c r="I62" s="10" t="s">
        <v>71</v>
      </c>
      <c r="J62" s="10"/>
      <c r="K62" s="10" t="s">
        <v>72</v>
      </c>
      <c r="L62" s="10" t="s">
        <v>36</v>
      </c>
      <c r="M62" s="7" t="s">
        <v>1808</v>
      </c>
      <c r="N62" s="10" t="s">
        <v>1814</v>
      </c>
      <c r="O62" s="7" t="s">
        <v>1815</v>
      </c>
      <c r="P62" s="7" t="s">
        <v>1294</v>
      </c>
      <c r="Q62" s="10" t="s">
        <v>37</v>
      </c>
      <c r="R62" s="10" t="s">
        <v>38</v>
      </c>
      <c r="S62" s="10" t="s">
        <v>89</v>
      </c>
      <c r="T62" s="68"/>
    </row>
    <row r="63" spans="1:20" x14ac:dyDescent="0.25">
      <c r="A63" s="8" t="s">
        <v>442</v>
      </c>
      <c r="B63" s="8">
        <v>281481</v>
      </c>
      <c r="C63" s="8" t="s">
        <v>443</v>
      </c>
      <c r="D63" s="8" t="s">
        <v>444</v>
      </c>
      <c r="E63" s="8" t="s">
        <v>445</v>
      </c>
      <c r="F63" s="8" t="s">
        <v>446</v>
      </c>
      <c r="G63" s="8" t="s">
        <v>447</v>
      </c>
      <c r="H63" s="8" t="s">
        <v>448</v>
      </c>
      <c r="I63" s="8" t="s">
        <v>71</v>
      </c>
      <c r="J63" s="8"/>
      <c r="K63" s="8" t="s">
        <v>72</v>
      </c>
      <c r="L63" s="8" t="s">
        <v>36</v>
      </c>
      <c r="M63" s="7" t="s">
        <v>1808</v>
      </c>
      <c r="N63" s="8" t="s">
        <v>1814</v>
      </c>
      <c r="O63" s="7" t="s">
        <v>1815</v>
      </c>
      <c r="P63" s="7" t="s">
        <v>1294</v>
      </c>
      <c r="Q63" s="8" t="s">
        <v>37</v>
      </c>
      <c r="R63" s="8" t="s">
        <v>38</v>
      </c>
      <c r="S63" s="8" t="s">
        <v>89</v>
      </c>
      <c r="T63" s="68"/>
    </row>
    <row r="64" spans="1:20" hidden="1" x14ac:dyDescent="0.25">
      <c r="A64" s="10" t="s">
        <v>449</v>
      </c>
      <c r="B64" s="10">
        <v>956948</v>
      </c>
      <c r="C64" s="10" t="s">
        <v>450</v>
      </c>
      <c r="D64" s="10" t="s">
        <v>451</v>
      </c>
      <c r="E64" s="10" t="s">
        <v>451</v>
      </c>
      <c r="F64" s="10" t="s">
        <v>452</v>
      </c>
      <c r="G64" s="10" t="s">
        <v>453</v>
      </c>
      <c r="H64" s="10" t="s">
        <v>434</v>
      </c>
      <c r="I64" s="10" t="s">
        <v>96</v>
      </c>
      <c r="J64" s="10" t="s">
        <v>97</v>
      </c>
      <c r="K64" s="10" t="s">
        <v>98</v>
      </c>
      <c r="L64" s="10" t="s">
        <v>99</v>
      </c>
      <c r="M64" s="7" t="s">
        <v>182</v>
      </c>
      <c r="N64" s="10" t="e">
        <v>#N/A</v>
      </c>
      <c r="O64" s="7" t="e">
        <v>#N/A</v>
      </c>
      <c r="P64" s="66" t="s">
        <v>1775</v>
      </c>
      <c r="Q64" s="10" t="s">
        <v>74</v>
      </c>
      <c r="R64" s="10" t="s">
        <v>38</v>
      </c>
      <c r="S64" s="7" t="s">
        <v>101</v>
      </c>
      <c r="T64" s="68"/>
    </row>
    <row r="65" spans="1:20" x14ac:dyDescent="0.25">
      <c r="A65" s="8" t="s">
        <v>454</v>
      </c>
      <c r="B65" s="8">
        <v>409276</v>
      </c>
      <c r="C65" s="8" t="s">
        <v>455</v>
      </c>
      <c r="D65" s="8" t="s">
        <v>456</v>
      </c>
      <c r="E65" s="8" t="s">
        <v>457</v>
      </c>
      <c r="F65" s="8" t="s">
        <v>458</v>
      </c>
      <c r="G65" s="8" t="s">
        <v>459</v>
      </c>
      <c r="H65" s="8" t="s">
        <v>460</v>
      </c>
      <c r="I65" s="8" t="s">
        <v>34</v>
      </c>
      <c r="J65" s="8"/>
      <c r="K65" s="8" t="s">
        <v>35</v>
      </c>
      <c r="L65" s="8" t="s">
        <v>73</v>
      </c>
      <c r="M65" s="7" t="s">
        <v>1806</v>
      </c>
      <c r="N65" s="8" t="s">
        <v>1810</v>
      </c>
      <c r="O65" s="7" t="s">
        <v>1811</v>
      </c>
      <c r="P65" s="7" t="s">
        <v>1294</v>
      </c>
      <c r="Q65" s="8" t="s">
        <v>74</v>
      </c>
      <c r="R65" s="8" t="s">
        <v>38</v>
      </c>
      <c r="S65" s="9" t="s">
        <v>39</v>
      </c>
      <c r="T65" s="68"/>
    </row>
    <row r="66" spans="1:20" x14ac:dyDescent="0.25">
      <c r="A66" s="10" t="s">
        <v>461</v>
      </c>
      <c r="B66" s="10">
        <v>713462</v>
      </c>
      <c r="C66" s="10" t="s">
        <v>462</v>
      </c>
      <c r="D66" s="10" t="s">
        <v>463</v>
      </c>
      <c r="E66" s="10" t="s">
        <v>464</v>
      </c>
      <c r="F66" s="10" t="s">
        <v>465</v>
      </c>
      <c r="G66" s="10" t="s">
        <v>466</v>
      </c>
      <c r="H66" s="10" t="s">
        <v>467</v>
      </c>
      <c r="I66" s="10" t="s">
        <v>108</v>
      </c>
      <c r="J66" s="10"/>
      <c r="K66" s="10" t="s">
        <v>109</v>
      </c>
      <c r="L66" s="10" t="s">
        <v>64</v>
      </c>
      <c r="M66" s="7" t="s">
        <v>1804</v>
      </c>
      <c r="N66" s="10" t="s">
        <v>1816</v>
      </c>
      <c r="O66" s="7" t="s">
        <v>1817</v>
      </c>
      <c r="P66" s="7" t="s">
        <v>1294</v>
      </c>
      <c r="Q66" s="10" t="s">
        <v>37</v>
      </c>
      <c r="R66" s="10" t="s">
        <v>38</v>
      </c>
      <c r="S66" s="7" t="s">
        <v>116</v>
      </c>
      <c r="T66" s="68"/>
    </row>
    <row r="67" spans="1:20" hidden="1" x14ac:dyDescent="0.25">
      <c r="A67" s="8" t="s">
        <v>468</v>
      </c>
      <c r="B67" s="8">
        <v>956848</v>
      </c>
      <c r="C67" s="8" t="s">
        <v>469</v>
      </c>
      <c r="D67" s="8" t="s">
        <v>470</v>
      </c>
      <c r="E67" s="8" t="s">
        <v>470</v>
      </c>
      <c r="F67" s="8" t="s">
        <v>471</v>
      </c>
      <c r="G67" s="8" t="s">
        <v>472</v>
      </c>
      <c r="H67" s="8" t="s">
        <v>473</v>
      </c>
      <c r="I67" s="8" t="s">
        <v>96</v>
      </c>
      <c r="J67" s="8" t="s">
        <v>97</v>
      </c>
      <c r="K67" s="8" t="s">
        <v>98</v>
      </c>
      <c r="L67" s="8" t="s">
        <v>99</v>
      </c>
      <c r="M67" s="7" t="s">
        <v>182</v>
      </c>
      <c r="N67" s="8" t="e">
        <v>#N/A</v>
      </c>
      <c r="O67" s="7" t="e">
        <v>#N/A</v>
      </c>
      <c r="P67" s="66" t="s">
        <v>1775</v>
      </c>
      <c r="Q67" s="8" t="s">
        <v>74</v>
      </c>
      <c r="R67" s="8" t="s">
        <v>38</v>
      </c>
      <c r="S67" s="8" t="s">
        <v>101</v>
      </c>
      <c r="T67" s="68"/>
    </row>
    <row r="68" spans="1:20" x14ac:dyDescent="0.25">
      <c r="A68" s="10" t="s">
        <v>474</v>
      </c>
      <c r="B68" s="10">
        <v>409794</v>
      </c>
      <c r="C68" s="10" t="s">
        <v>475</v>
      </c>
      <c r="D68" s="10" t="s">
        <v>476</v>
      </c>
      <c r="E68" s="10" t="s">
        <v>477</v>
      </c>
      <c r="F68" s="10" t="s">
        <v>478</v>
      </c>
      <c r="G68" s="10" t="s">
        <v>479</v>
      </c>
      <c r="H68" s="10" t="s">
        <v>480</v>
      </c>
      <c r="I68" s="10" t="s">
        <v>34</v>
      </c>
      <c r="J68" s="10"/>
      <c r="K68" s="10" t="s">
        <v>35</v>
      </c>
      <c r="L68" s="10" t="s">
        <v>73</v>
      </c>
      <c r="M68" s="7" t="s">
        <v>1806</v>
      </c>
      <c r="N68" s="10" t="s">
        <v>1810</v>
      </c>
      <c r="O68" s="7" t="s">
        <v>1811</v>
      </c>
      <c r="P68" s="7" t="s">
        <v>1294</v>
      </c>
      <c r="Q68" s="10" t="s">
        <v>74</v>
      </c>
      <c r="R68" s="10" t="s">
        <v>38</v>
      </c>
      <c r="S68" s="7" t="s">
        <v>39</v>
      </c>
      <c r="T68" s="68"/>
    </row>
    <row r="69" spans="1:20" hidden="1" x14ac:dyDescent="0.25">
      <c r="A69" s="8" t="s">
        <v>481</v>
      </c>
      <c r="B69" s="8">
        <v>361865</v>
      </c>
      <c r="C69" s="8" t="s">
        <v>482</v>
      </c>
      <c r="D69" s="8" t="s">
        <v>483</v>
      </c>
      <c r="E69" s="8" t="s">
        <v>483</v>
      </c>
      <c r="F69" s="8" t="s">
        <v>484</v>
      </c>
      <c r="G69" s="8" t="s">
        <v>485</v>
      </c>
      <c r="H69" s="8" t="s">
        <v>486</v>
      </c>
      <c r="I69" s="8" t="s">
        <v>71</v>
      </c>
      <c r="J69" s="8"/>
      <c r="K69" s="8" t="s">
        <v>72</v>
      </c>
      <c r="L69" s="8" t="s">
        <v>54</v>
      </c>
      <c r="M69" s="7" t="s">
        <v>346</v>
      </c>
      <c r="N69" s="8" t="e">
        <v>#N/A</v>
      </c>
      <c r="O69" s="7" t="e">
        <v>#N/A</v>
      </c>
      <c r="P69" s="66" t="s">
        <v>1775</v>
      </c>
      <c r="Q69" s="8" t="s">
        <v>74</v>
      </c>
      <c r="R69" s="8" t="s">
        <v>38</v>
      </c>
      <c r="S69" s="9" t="s">
        <v>101</v>
      </c>
      <c r="T69" s="68"/>
    </row>
    <row r="70" spans="1:20" hidden="1" x14ac:dyDescent="0.25">
      <c r="A70" s="10" t="s">
        <v>487</v>
      </c>
      <c r="B70" s="10">
        <v>361937</v>
      </c>
      <c r="C70" s="10" t="s">
        <v>488</v>
      </c>
      <c r="D70" s="10" t="s">
        <v>1357</v>
      </c>
      <c r="E70" s="10" t="s">
        <v>489</v>
      </c>
      <c r="F70" s="10" t="s">
        <v>490</v>
      </c>
      <c r="G70" s="10" t="s">
        <v>491</v>
      </c>
      <c r="H70" s="10" t="s">
        <v>492</v>
      </c>
      <c r="I70" s="10" t="s">
        <v>51</v>
      </c>
      <c r="J70" s="10" t="s">
        <v>52</v>
      </c>
      <c r="K70" s="10" t="s">
        <v>53</v>
      </c>
      <c r="L70" s="10" t="s">
        <v>54</v>
      </c>
      <c r="M70" s="7" t="s">
        <v>55</v>
      </c>
      <c r="N70" s="10" t="e">
        <v>#N/A</v>
      </c>
      <c r="O70" s="7" t="e">
        <v>#N/A</v>
      </c>
      <c r="P70" s="66" t="s">
        <v>1775</v>
      </c>
      <c r="Q70" s="10" t="s">
        <v>150</v>
      </c>
      <c r="R70" s="10" t="s">
        <v>38</v>
      </c>
      <c r="S70" s="10" t="s">
        <v>101</v>
      </c>
      <c r="T70" s="68"/>
    </row>
    <row r="71" spans="1:20" x14ac:dyDescent="0.25">
      <c r="A71" s="8" t="s">
        <v>493</v>
      </c>
      <c r="B71" s="8">
        <v>979233</v>
      </c>
      <c r="C71" s="8" t="s">
        <v>494</v>
      </c>
      <c r="D71" s="8" t="s">
        <v>495</v>
      </c>
      <c r="E71" s="8" t="s">
        <v>496</v>
      </c>
      <c r="F71" s="8" t="s">
        <v>497</v>
      </c>
      <c r="G71" s="8" t="s">
        <v>498</v>
      </c>
      <c r="H71" s="8" t="s">
        <v>499</v>
      </c>
      <c r="I71" s="8" t="s">
        <v>71</v>
      </c>
      <c r="J71" s="8"/>
      <c r="K71" s="8" t="s">
        <v>72</v>
      </c>
      <c r="L71" s="8" t="s">
        <v>82</v>
      </c>
      <c r="M71" s="7" t="s">
        <v>1808</v>
      </c>
      <c r="N71" s="8" t="s">
        <v>1814</v>
      </c>
      <c r="O71" s="7" t="s">
        <v>1815</v>
      </c>
      <c r="P71" s="7" t="s">
        <v>1294</v>
      </c>
      <c r="Q71" s="8" t="s">
        <v>56</v>
      </c>
      <c r="R71" s="8" t="s">
        <v>38</v>
      </c>
      <c r="S71" s="8" t="s">
        <v>89</v>
      </c>
      <c r="T71" s="68"/>
    </row>
    <row r="72" spans="1:20" hidden="1" x14ac:dyDescent="0.25">
      <c r="A72" s="10" t="s">
        <v>500</v>
      </c>
      <c r="B72" s="10">
        <v>361394</v>
      </c>
      <c r="C72" s="10" t="s">
        <v>501</v>
      </c>
      <c r="D72" s="10" t="s">
        <v>502</v>
      </c>
      <c r="E72" s="10" t="s">
        <v>502</v>
      </c>
      <c r="F72" s="10" t="s">
        <v>503</v>
      </c>
      <c r="G72" s="10" t="s">
        <v>504</v>
      </c>
      <c r="H72" s="10" t="s">
        <v>505</v>
      </c>
      <c r="I72" s="10" t="s">
        <v>96</v>
      </c>
      <c r="J72" s="10" t="s">
        <v>97</v>
      </c>
      <c r="K72" s="10" t="s">
        <v>98</v>
      </c>
      <c r="L72" s="10" t="s">
        <v>99</v>
      </c>
      <c r="M72" s="7" t="s">
        <v>182</v>
      </c>
      <c r="N72" s="10" t="e">
        <v>#N/A</v>
      </c>
      <c r="O72" s="7" t="e">
        <v>#N/A</v>
      </c>
      <c r="P72" s="66" t="s">
        <v>1775</v>
      </c>
      <c r="Q72" s="10" t="s">
        <v>74</v>
      </c>
      <c r="R72" s="10" t="s">
        <v>38</v>
      </c>
      <c r="S72" s="10" t="s">
        <v>101</v>
      </c>
      <c r="T72" s="68"/>
    </row>
    <row r="73" spans="1:20" x14ac:dyDescent="0.25">
      <c r="A73" s="8" t="s">
        <v>506</v>
      </c>
      <c r="B73" s="8">
        <v>281482</v>
      </c>
      <c r="C73" s="8" t="s">
        <v>507</v>
      </c>
      <c r="D73" s="8" t="s">
        <v>508</v>
      </c>
      <c r="E73" s="11" t="s">
        <v>509</v>
      </c>
      <c r="F73" s="8" t="s">
        <v>510</v>
      </c>
      <c r="G73" s="8" t="s">
        <v>511</v>
      </c>
      <c r="H73" s="8" t="s">
        <v>512</v>
      </c>
      <c r="I73" s="8" t="s">
        <v>71</v>
      </c>
      <c r="J73" s="8"/>
      <c r="K73" s="8" t="s">
        <v>72</v>
      </c>
      <c r="L73" s="8" t="s">
        <v>36</v>
      </c>
      <c r="M73" s="7" t="s">
        <v>1808</v>
      </c>
      <c r="N73" s="8" t="s">
        <v>1814</v>
      </c>
      <c r="O73" s="7" t="s">
        <v>1815</v>
      </c>
      <c r="P73" s="7" t="s">
        <v>1294</v>
      </c>
      <c r="Q73" s="8" t="s">
        <v>150</v>
      </c>
      <c r="R73" s="8" t="s">
        <v>38</v>
      </c>
      <c r="S73" s="8" t="s">
        <v>89</v>
      </c>
      <c r="T73" s="68"/>
    </row>
    <row r="74" spans="1:20" x14ac:dyDescent="0.25">
      <c r="A74" s="10" t="s">
        <v>513</v>
      </c>
      <c r="B74" s="10">
        <v>409740</v>
      </c>
      <c r="C74" s="10" t="s">
        <v>514</v>
      </c>
      <c r="D74" s="10" t="s">
        <v>515</v>
      </c>
      <c r="E74" s="10" t="s">
        <v>516</v>
      </c>
      <c r="F74" s="10" t="s">
        <v>517</v>
      </c>
      <c r="G74" s="10" t="s">
        <v>518</v>
      </c>
      <c r="H74" s="10" t="s">
        <v>519</v>
      </c>
      <c r="I74" s="10" t="s">
        <v>71</v>
      </c>
      <c r="J74" s="10"/>
      <c r="K74" s="10" t="s">
        <v>72</v>
      </c>
      <c r="L74" s="10" t="s">
        <v>64</v>
      </c>
      <c r="M74" s="7" t="s">
        <v>1808</v>
      </c>
      <c r="N74" s="10" t="s">
        <v>1814</v>
      </c>
      <c r="O74" s="7" t="s">
        <v>1815</v>
      </c>
      <c r="P74" s="7" t="s">
        <v>1294</v>
      </c>
      <c r="Q74" s="10" t="s">
        <v>37</v>
      </c>
      <c r="R74" s="10" t="s">
        <v>38</v>
      </c>
      <c r="S74" s="7" t="s">
        <v>89</v>
      </c>
      <c r="T74" s="68"/>
    </row>
    <row r="75" spans="1:20" x14ac:dyDescent="0.25">
      <c r="A75" s="8" t="s">
        <v>520</v>
      </c>
      <c r="B75" s="8">
        <v>409762</v>
      </c>
      <c r="C75" s="8" t="s">
        <v>521</v>
      </c>
      <c r="D75" s="8" t="s">
        <v>522</v>
      </c>
      <c r="E75" s="8" t="s">
        <v>523</v>
      </c>
      <c r="F75" s="8" t="s">
        <v>524</v>
      </c>
      <c r="G75" s="8" t="s">
        <v>525</v>
      </c>
      <c r="H75" s="8" t="s">
        <v>526</v>
      </c>
      <c r="I75" s="8" t="s">
        <v>71</v>
      </c>
      <c r="J75" s="8"/>
      <c r="K75" s="8" t="s">
        <v>72</v>
      </c>
      <c r="L75" s="8" t="s">
        <v>73</v>
      </c>
      <c r="M75" s="7" t="s">
        <v>1808</v>
      </c>
      <c r="N75" s="8" t="s">
        <v>1814</v>
      </c>
      <c r="O75" s="7" t="s">
        <v>1815</v>
      </c>
      <c r="P75" s="7" t="s">
        <v>1294</v>
      </c>
      <c r="Q75" s="8" t="s">
        <v>37</v>
      </c>
      <c r="R75" s="8" t="s">
        <v>38</v>
      </c>
      <c r="S75" s="8" t="s">
        <v>89</v>
      </c>
      <c r="T75" s="68"/>
    </row>
    <row r="76" spans="1:20" x14ac:dyDescent="0.25">
      <c r="A76" s="10" t="s">
        <v>527</v>
      </c>
      <c r="B76" s="10">
        <v>409737</v>
      </c>
      <c r="C76" s="10" t="s">
        <v>528</v>
      </c>
      <c r="D76" s="10" t="s">
        <v>529</v>
      </c>
      <c r="E76" s="10" t="s">
        <v>530</v>
      </c>
      <c r="F76" s="10" t="s">
        <v>531</v>
      </c>
      <c r="G76" s="10" t="s">
        <v>532</v>
      </c>
      <c r="H76" s="10" t="s">
        <v>533</v>
      </c>
      <c r="I76" s="10" t="s">
        <v>71</v>
      </c>
      <c r="J76" s="10"/>
      <c r="K76" s="10" t="s">
        <v>72</v>
      </c>
      <c r="L76" s="10" t="s">
        <v>73</v>
      </c>
      <c r="M76" s="7" t="s">
        <v>1808</v>
      </c>
      <c r="N76" s="10" t="s">
        <v>1814</v>
      </c>
      <c r="O76" s="7" t="s">
        <v>1815</v>
      </c>
      <c r="P76" s="7" t="s">
        <v>1294</v>
      </c>
      <c r="Q76" s="10" t="s">
        <v>56</v>
      </c>
      <c r="R76" s="10" t="s">
        <v>38</v>
      </c>
      <c r="S76" s="7" t="s">
        <v>89</v>
      </c>
      <c r="T76" s="68"/>
    </row>
    <row r="77" spans="1:20" x14ac:dyDescent="0.25">
      <c r="A77" s="8" t="s">
        <v>534</v>
      </c>
      <c r="B77" s="8">
        <v>979758</v>
      </c>
      <c r="C77" s="8" t="s">
        <v>535</v>
      </c>
      <c r="D77" s="8" t="s">
        <v>536</v>
      </c>
      <c r="E77" s="8" t="s">
        <v>537</v>
      </c>
      <c r="F77" s="8" t="s">
        <v>538</v>
      </c>
      <c r="G77" s="8" t="s">
        <v>539</v>
      </c>
      <c r="H77" s="8" t="s">
        <v>540</v>
      </c>
      <c r="I77" s="8" t="s">
        <v>51</v>
      </c>
      <c r="J77" s="8"/>
      <c r="K77" s="8" t="s">
        <v>53</v>
      </c>
      <c r="L77" s="8" t="s">
        <v>64</v>
      </c>
      <c r="M77" s="7" t="s">
        <v>1807</v>
      </c>
      <c r="N77" s="8" t="s">
        <v>1812</v>
      </c>
      <c r="O77" s="7" t="s">
        <v>1813</v>
      </c>
      <c r="P77" s="7" t="s">
        <v>1294</v>
      </c>
      <c r="Q77" s="8" t="s">
        <v>74</v>
      </c>
      <c r="R77" s="8" t="s">
        <v>38</v>
      </c>
      <c r="S77" s="9" t="s">
        <v>57</v>
      </c>
      <c r="T77" s="68"/>
    </row>
    <row r="78" spans="1:20" x14ac:dyDescent="0.25">
      <c r="A78" s="10" t="s">
        <v>541</v>
      </c>
      <c r="B78" s="10">
        <v>713453</v>
      </c>
      <c r="C78" s="52" t="s">
        <v>542</v>
      </c>
      <c r="D78" s="10" t="s">
        <v>543</v>
      </c>
      <c r="E78" s="10" t="s">
        <v>544</v>
      </c>
      <c r="F78" s="10" t="s">
        <v>545</v>
      </c>
      <c r="G78" s="10" t="s">
        <v>546</v>
      </c>
      <c r="H78" s="10" t="s">
        <v>547</v>
      </c>
      <c r="I78" s="10" t="s">
        <v>263</v>
      </c>
      <c r="J78" s="10"/>
      <c r="K78" s="10" t="s">
        <v>264</v>
      </c>
      <c r="L78" s="10" t="s">
        <v>36</v>
      </c>
      <c r="M78" s="7" t="s">
        <v>1356</v>
      </c>
      <c r="N78" s="10" t="s">
        <v>1810</v>
      </c>
      <c r="O78" s="7" t="s">
        <v>1811</v>
      </c>
      <c r="P78" s="7" t="s">
        <v>1294</v>
      </c>
      <c r="Q78" s="10" t="s">
        <v>37</v>
      </c>
      <c r="R78" s="10" t="s">
        <v>38</v>
      </c>
      <c r="S78" s="10" t="s">
        <v>39</v>
      </c>
      <c r="T78" s="68"/>
    </row>
    <row r="79" spans="1:20" hidden="1" x14ac:dyDescent="0.25">
      <c r="A79" s="8" t="s">
        <v>548</v>
      </c>
      <c r="B79" s="8">
        <v>361645</v>
      </c>
      <c r="C79" s="8" t="s">
        <v>549</v>
      </c>
      <c r="D79" s="8" t="s">
        <v>550</v>
      </c>
      <c r="E79" s="8" t="s">
        <v>550</v>
      </c>
      <c r="F79" s="8" t="s">
        <v>551</v>
      </c>
      <c r="G79" s="8" t="s">
        <v>552</v>
      </c>
      <c r="H79" s="8" t="s">
        <v>553</v>
      </c>
      <c r="I79" s="8" t="s">
        <v>71</v>
      </c>
      <c r="J79" s="8"/>
      <c r="K79" s="8" t="s">
        <v>72</v>
      </c>
      <c r="L79" s="8" t="s">
        <v>54</v>
      </c>
      <c r="M79" s="7" t="s">
        <v>346</v>
      </c>
      <c r="N79" s="8" t="e">
        <v>#N/A</v>
      </c>
      <c r="O79" s="7" t="e">
        <v>#N/A</v>
      </c>
      <c r="P79" s="66" t="s">
        <v>1775</v>
      </c>
      <c r="Q79" s="8" t="s">
        <v>74</v>
      </c>
      <c r="R79" s="8" t="s">
        <v>38</v>
      </c>
      <c r="S79" s="8" t="s">
        <v>101</v>
      </c>
      <c r="T79" s="68"/>
    </row>
    <row r="80" spans="1:20" x14ac:dyDescent="0.25">
      <c r="A80" s="10" t="s">
        <v>554</v>
      </c>
      <c r="B80" s="10">
        <v>281872</v>
      </c>
      <c r="C80" s="10" t="s">
        <v>555</v>
      </c>
      <c r="D80" s="10" t="s">
        <v>556</v>
      </c>
      <c r="E80" s="10" t="s">
        <v>557</v>
      </c>
      <c r="F80" s="10" t="s">
        <v>558</v>
      </c>
      <c r="G80" s="10" t="s">
        <v>559</v>
      </c>
      <c r="H80" s="10" t="s">
        <v>560</v>
      </c>
      <c r="I80" s="10" t="s">
        <v>34</v>
      </c>
      <c r="J80" s="10"/>
      <c r="K80" s="10" t="s">
        <v>35</v>
      </c>
      <c r="L80" s="10" t="s">
        <v>36</v>
      </c>
      <c r="M80" s="7" t="s">
        <v>1806</v>
      </c>
      <c r="N80" s="10" t="s">
        <v>1810</v>
      </c>
      <c r="O80" s="7" t="s">
        <v>1811</v>
      </c>
      <c r="P80" s="7" t="s">
        <v>1294</v>
      </c>
      <c r="Q80" s="10" t="s">
        <v>37</v>
      </c>
      <c r="R80" s="10" t="s">
        <v>38</v>
      </c>
      <c r="S80" s="7" t="s">
        <v>39</v>
      </c>
      <c r="T80" s="68"/>
    </row>
    <row r="81" spans="1:20" x14ac:dyDescent="0.25">
      <c r="A81" s="8" t="s">
        <v>561</v>
      </c>
      <c r="B81" s="8">
        <v>713472</v>
      </c>
      <c r="C81" s="8" t="s">
        <v>562</v>
      </c>
      <c r="D81" s="8" t="s">
        <v>563</v>
      </c>
      <c r="E81" s="8" t="s">
        <v>564</v>
      </c>
      <c r="F81" s="8" t="s">
        <v>565</v>
      </c>
      <c r="G81" s="8" t="s">
        <v>566</v>
      </c>
      <c r="H81" s="8" t="s">
        <v>567</v>
      </c>
      <c r="I81" s="8" t="s">
        <v>71</v>
      </c>
      <c r="J81" s="8"/>
      <c r="K81" s="8" t="s">
        <v>72</v>
      </c>
      <c r="L81" s="8" t="s">
        <v>36</v>
      </c>
      <c r="M81" s="7" t="s">
        <v>1808</v>
      </c>
      <c r="N81" s="8" t="s">
        <v>1814</v>
      </c>
      <c r="O81" s="7" t="s">
        <v>1815</v>
      </c>
      <c r="P81" s="7" t="s">
        <v>1294</v>
      </c>
      <c r="Q81" s="8" t="s">
        <v>37</v>
      </c>
      <c r="R81" s="8" t="s">
        <v>38</v>
      </c>
      <c r="S81" s="8" t="s">
        <v>89</v>
      </c>
      <c r="T81" s="68"/>
    </row>
    <row r="82" spans="1:20" hidden="1" x14ac:dyDescent="0.25">
      <c r="A82" s="10" t="s">
        <v>568</v>
      </c>
      <c r="B82" s="10">
        <v>361798</v>
      </c>
      <c r="C82" s="10" t="s">
        <v>569</v>
      </c>
      <c r="D82" s="10" t="s">
        <v>570</v>
      </c>
      <c r="E82" s="10" t="s">
        <v>570</v>
      </c>
      <c r="F82" s="10" t="s">
        <v>571</v>
      </c>
      <c r="G82" s="10" t="s">
        <v>572</v>
      </c>
      <c r="H82" s="10" t="s">
        <v>573</v>
      </c>
      <c r="I82" s="10" t="s">
        <v>71</v>
      </c>
      <c r="J82" s="10"/>
      <c r="K82" s="10" t="s">
        <v>72</v>
      </c>
      <c r="L82" s="10" t="s">
        <v>54</v>
      </c>
      <c r="M82" s="7" t="s">
        <v>346</v>
      </c>
      <c r="N82" s="10" t="e">
        <v>#N/A</v>
      </c>
      <c r="O82" s="7" t="e">
        <v>#N/A</v>
      </c>
      <c r="P82" s="66" t="s">
        <v>1775</v>
      </c>
      <c r="Q82" s="10" t="s">
        <v>74</v>
      </c>
      <c r="R82" s="10" t="s">
        <v>38</v>
      </c>
      <c r="S82" s="10" t="s">
        <v>101</v>
      </c>
      <c r="T82" s="68"/>
    </row>
    <row r="83" spans="1:20" hidden="1" x14ac:dyDescent="0.25">
      <c r="A83" s="8" t="s">
        <v>574</v>
      </c>
      <c r="B83" s="8">
        <v>956428</v>
      </c>
      <c r="C83" s="8" t="s">
        <v>575</v>
      </c>
      <c r="D83" s="8" t="s">
        <v>576</v>
      </c>
      <c r="E83" s="8" t="s">
        <v>576</v>
      </c>
      <c r="F83" s="8" t="s">
        <v>577</v>
      </c>
      <c r="G83" s="8" t="s">
        <v>578</v>
      </c>
      <c r="H83" s="8" t="s">
        <v>579</v>
      </c>
      <c r="I83" s="8" t="s">
        <v>96</v>
      </c>
      <c r="J83" s="8" t="s">
        <v>226</v>
      </c>
      <c r="K83" s="8" t="s">
        <v>98</v>
      </c>
      <c r="L83" s="8" t="s">
        <v>99</v>
      </c>
      <c r="M83" s="7" t="s">
        <v>227</v>
      </c>
      <c r="N83" s="8" t="e">
        <v>#N/A</v>
      </c>
      <c r="O83" s="7" t="e">
        <v>#N/A</v>
      </c>
      <c r="P83" s="66" t="s">
        <v>1775</v>
      </c>
      <c r="Q83" s="8" t="s">
        <v>56</v>
      </c>
      <c r="R83" s="8" t="s">
        <v>38</v>
      </c>
      <c r="S83" s="8" t="s">
        <v>101</v>
      </c>
      <c r="T83" s="68"/>
    </row>
    <row r="84" spans="1:20" hidden="1" x14ac:dyDescent="0.25">
      <c r="A84" s="10" t="s">
        <v>580</v>
      </c>
      <c r="B84" s="10">
        <v>361527</v>
      </c>
      <c r="C84" s="10" t="s">
        <v>581</v>
      </c>
      <c r="D84" s="10" t="s">
        <v>582</v>
      </c>
      <c r="E84" s="10" t="s">
        <v>582</v>
      </c>
      <c r="F84" s="10" t="s">
        <v>583</v>
      </c>
      <c r="G84" s="10" t="s">
        <v>584</v>
      </c>
      <c r="H84" s="10" t="s">
        <v>585</v>
      </c>
      <c r="I84" s="10" t="s">
        <v>96</v>
      </c>
      <c r="J84" s="10" t="s">
        <v>97</v>
      </c>
      <c r="K84" s="10" t="s">
        <v>98</v>
      </c>
      <c r="L84" s="10" t="s">
        <v>99</v>
      </c>
      <c r="M84" s="7" t="s">
        <v>182</v>
      </c>
      <c r="N84" s="10" t="e">
        <v>#N/A</v>
      </c>
      <c r="O84" s="7" t="e">
        <v>#N/A</v>
      </c>
      <c r="P84" s="66" t="s">
        <v>1775</v>
      </c>
      <c r="Q84" s="10" t="s">
        <v>74</v>
      </c>
      <c r="R84" s="10" t="s">
        <v>38</v>
      </c>
      <c r="S84" s="7" t="s">
        <v>101</v>
      </c>
      <c r="T84" s="68"/>
    </row>
    <row r="85" spans="1:20" x14ac:dyDescent="0.25">
      <c r="A85" s="8" t="s">
        <v>586</v>
      </c>
      <c r="B85" s="8">
        <v>979826</v>
      </c>
      <c r="C85" s="8" t="s">
        <v>587</v>
      </c>
      <c r="D85" s="8" t="s">
        <v>588</v>
      </c>
      <c r="E85" s="8" t="s">
        <v>589</v>
      </c>
      <c r="F85" s="8" t="s">
        <v>590</v>
      </c>
      <c r="G85" s="8" t="s">
        <v>591</v>
      </c>
      <c r="H85" s="8" t="s">
        <v>592</v>
      </c>
      <c r="I85" s="8" t="s">
        <v>51</v>
      </c>
      <c r="J85" s="8"/>
      <c r="K85" s="8" t="s">
        <v>53</v>
      </c>
      <c r="L85" s="8" t="s">
        <v>64</v>
      </c>
      <c r="M85" s="7" t="s">
        <v>1807</v>
      </c>
      <c r="N85" s="8" t="s">
        <v>1812</v>
      </c>
      <c r="O85" s="7" t="s">
        <v>1813</v>
      </c>
      <c r="P85" s="7" t="s">
        <v>1294</v>
      </c>
      <c r="Q85" s="8" t="s">
        <v>56</v>
      </c>
      <c r="R85" s="8" t="s">
        <v>38</v>
      </c>
      <c r="S85" s="8" t="s">
        <v>116</v>
      </c>
      <c r="T85" s="68"/>
    </row>
    <row r="86" spans="1:20" hidden="1" x14ac:dyDescent="0.25">
      <c r="A86" s="10" t="s">
        <v>593</v>
      </c>
      <c r="B86" s="10">
        <v>956843</v>
      </c>
      <c r="C86" s="10" t="s">
        <v>594</v>
      </c>
      <c r="D86" s="10" t="s">
        <v>595</v>
      </c>
      <c r="E86" s="10" t="s">
        <v>595</v>
      </c>
      <c r="F86" s="10" t="s">
        <v>596</v>
      </c>
      <c r="G86" s="10" t="s">
        <v>597</v>
      </c>
      <c r="H86" s="10" t="s">
        <v>598</v>
      </c>
      <c r="I86" s="10" t="s">
        <v>96</v>
      </c>
      <c r="J86" s="10" t="s">
        <v>389</v>
      </c>
      <c r="K86" s="10" t="s">
        <v>98</v>
      </c>
      <c r="L86" s="10" t="s">
        <v>99</v>
      </c>
      <c r="M86" s="7" t="s">
        <v>390</v>
      </c>
      <c r="N86" s="10" t="e">
        <v>#N/A</v>
      </c>
      <c r="O86" s="7" t="e">
        <v>#N/A</v>
      </c>
      <c r="P86" s="66" t="s">
        <v>1775</v>
      </c>
      <c r="Q86" s="10" t="s">
        <v>56</v>
      </c>
      <c r="R86" s="10" t="s">
        <v>38</v>
      </c>
      <c r="S86" s="10" t="s">
        <v>101</v>
      </c>
      <c r="T86" s="68"/>
    </row>
    <row r="87" spans="1:20" x14ac:dyDescent="0.25">
      <c r="A87" s="8" t="s">
        <v>599</v>
      </c>
      <c r="B87" s="8">
        <v>713465</v>
      </c>
      <c r="C87" s="8" t="s">
        <v>600</v>
      </c>
      <c r="D87" s="8" t="s">
        <v>601</v>
      </c>
      <c r="E87" s="8" t="s">
        <v>602</v>
      </c>
      <c r="F87" s="8" t="s">
        <v>603</v>
      </c>
      <c r="G87" s="8" t="s">
        <v>604</v>
      </c>
      <c r="H87" s="8" t="s">
        <v>605</v>
      </c>
      <c r="I87" s="8" t="s">
        <v>51</v>
      </c>
      <c r="J87" s="8"/>
      <c r="K87" s="8" t="s">
        <v>53</v>
      </c>
      <c r="L87" s="8" t="s">
        <v>64</v>
      </c>
      <c r="M87" s="7" t="s">
        <v>1807</v>
      </c>
      <c r="N87" s="8" t="s">
        <v>1812</v>
      </c>
      <c r="O87" s="7" t="s">
        <v>1813</v>
      </c>
      <c r="P87" s="7" t="s">
        <v>1294</v>
      </c>
      <c r="Q87" s="8" t="s">
        <v>37</v>
      </c>
      <c r="R87" s="8" t="s">
        <v>38</v>
      </c>
      <c r="S87" s="9" t="s">
        <v>57</v>
      </c>
      <c r="T87" s="68"/>
    </row>
    <row r="88" spans="1:20" hidden="1" x14ac:dyDescent="0.25">
      <c r="A88" s="10" t="s">
        <v>606</v>
      </c>
      <c r="B88" s="10">
        <v>830426</v>
      </c>
      <c r="C88" s="10" t="s">
        <v>607</v>
      </c>
      <c r="D88" s="10" t="s">
        <v>608</v>
      </c>
      <c r="E88" s="10" t="s">
        <v>608</v>
      </c>
      <c r="F88" s="10" t="s">
        <v>609</v>
      </c>
      <c r="G88" s="10" t="s">
        <v>610</v>
      </c>
      <c r="H88" s="10" t="s">
        <v>611</v>
      </c>
      <c r="I88" s="10" t="s">
        <v>96</v>
      </c>
      <c r="J88" s="10" t="s">
        <v>123</v>
      </c>
      <c r="K88" s="10" t="s">
        <v>98</v>
      </c>
      <c r="L88" s="10" t="s">
        <v>99</v>
      </c>
      <c r="M88" s="7" t="s">
        <v>100</v>
      </c>
      <c r="N88" s="10" t="e">
        <v>#N/A</v>
      </c>
      <c r="O88" s="7" t="e">
        <v>#N/A</v>
      </c>
      <c r="P88" s="66" t="s">
        <v>1775</v>
      </c>
      <c r="Q88" s="10" t="s">
        <v>74</v>
      </c>
      <c r="R88" s="10" t="s">
        <v>38</v>
      </c>
      <c r="S88" s="10" t="s">
        <v>101</v>
      </c>
      <c r="T88" s="68"/>
    </row>
    <row r="89" spans="1:20" x14ac:dyDescent="0.25">
      <c r="A89" s="8" t="s">
        <v>612</v>
      </c>
      <c r="B89" s="8">
        <v>713944</v>
      </c>
      <c r="C89" s="8" t="s">
        <v>613</v>
      </c>
      <c r="D89" s="8" t="s">
        <v>614</v>
      </c>
      <c r="E89" s="8" t="s">
        <v>615</v>
      </c>
      <c r="F89" s="8" t="s">
        <v>616</v>
      </c>
      <c r="G89" s="8" t="s">
        <v>617</v>
      </c>
      <c r="H89" s="8" t="s">
        <v>611</v>
      </c>
      <c r="I89" s="8" t="s">
        <v>71</v>
      </c>
      <c r="J89" s="8"/>
      <c r="K89" s="8" t="s">
        <v>72</v>
      </c>
      <c r="L89" s="8" t="s">
        <v>36</v>
      </c>
      <c r="M89" s="7" t="s">
        <v>1808</v>
      </c>
      <c r="N89" s="8" t="s">
        <v>1814</v>
      </c>
      <c r="O89" s="7" t="s">
        <v>1815</v>
      </c>
      <c r="P89" s="7" t="s">
        <v>1294</v>
      </c>
      <c r="Q89" s="8" t="s">
        <v>37</v>
      </c>
      <c r="R89" s="8" t="s">
        <v>38</v>
      </c>
      <c r="S89" s="9" t="s">
        <v>89</v>
      </c>
      <c r="T89" s="68"/>
    </row>
    <row r="90" spans="1:20" x14ac:dyDescent="0.25">
      <c r="A90" s="10" t="s">
        <v>618</v>
      </c>
      <c r="B90" s="10">
        <v>936291</v>
      </c>
      <c r="C90" s="10" t="s">
        <v>619</v>
      </c>
      <c r="D90" s="10" t="s">
        <v>620</v>
      </c>
      <c r="E90" s="10" t="s">
        <v>621</v>
      </c>
      <c r="F90" s="10" t="s">
        <v>622</v>
      </c>
      <c r="G90" s="10" t="s">
        <v>623</v>
      </c>
      <c r="H90" s="10" t="s">
        <v>624</v>
      </c>
      <c r="I90" s="10" t="s">
        <v>108</v>
      </c>
      <c r="J90" s="10"/>
      <c r="K90" s="10" t="s">
        <v>109</v>
      </c>
      <c r="L90" s="10" t="s">
        <v>82</v>
      </c>
      <c r="M90" s="7" t="s">
        <v>1804</v>
      </c>
      <c r="N90" s="10" t="s">
        <v>1816</v>
      </c>
      <c r="O90" s="7" t="s">
        <v>1817</v>
      </c>
      <c r="P90" s="7" t="s">
        <v>1294</v>
      </c>
      <c r="Q90" s="10" t="s">
        <v>56</v>
      </c>
      <c r="R90" s="10" t="s">
        <v>38</v>
      </c>
      <c r="S90" s="10" t="s">
        <v>39</v>
      </c>
      <c r="T90" s="68"/>
    </row>
    <row r="91" spans="1:20" x14ac:dyDescent="0.25">
      <c r="A91" s="8" t="s">
        <v>625</v>
      </c>
      <c r="B91" s="8">
        <v>713433</v>
      </c>
      <c r="C91" s="8" t="s">
        <v>190</v>
      </c>
      <c r="D91" s="8" t="s">
        <v>626</v>
      </c>
      <c r="E91" s="8" t="s">
        <v>626</v>
      </c>
      <c r="F91" s="8" t="s">
        <v>192</v>
      </c>
      <c r="G91" s="8" t="s">
        <v>193</v>
      </c>
      <c r="H91" s="8" t="s">
        <v>194</v>
      </c>
      <c r="I91" s="8" t="s">
        <v>51</v>
      </c>
      <c r="J91" s="8"/>
      <c r="K91" s="8" t="s">
        <v>53</v>
      </c>
      <c r="L91" s="8" t="s">
        <v>36</v>
      </c>
      <c r="M91" s="7" t="s">
        <v>1807</v>
      </c>
      <c r="N91" s="8" t="s">
        <v>1812</v>
      </c>
      <c r="O91" s="7" t="s">
        <v>1813</v>
      </c>
      <c r="P91" s="7" t="s">
        <v>1294</v>
      </c>
      <c r="Q91" s="8" t="s">
        <v>37</v>
      </c>
      <c r="R91" s="8" t="s">
        <v>36</v>
      </c>
      <c r="S91" s="8" t="s">
        <v>57</v>
      </c>
      <c r="T91" s="68"/>
    </row>
    <row r="92" spans="1:20" x14ac:dyDescent="0.25">
      <c r="A92" s="10" t="s">
        <v>627</v>
      </c>
      <c r="B92" s="10">
        <v>713522</v>
      </c>
      <c r="C92" s="10" t="s">
        <v>628</v>
      </c>
      <c r="D92" s="10" t="s">
        <v>629</v>
      </c>
      <c r="E92" s="10" t="s">
        <v>630</v>
      </c>
      <c r="F92" s="10" t="s">
        <v>631</v>
      </c>
      <c r="G92" s="10" t="s">
        <v>632</v>
      </c>
      <c r="H92" s="10" t="s">
        <v>633</v>
      </c>
      <c r="I92" s="10" t="s">
        <v>263</v>
      </c>
      <c r="J92" s="10"/>
      <c r="K92" s="10" t="s">
        <v>264</v>
      </c>
      <c r="L92" s="10" t="s">
        <v>36</v>
      </c>
      <c r="M92" s="7" t="s">
        <v>1356</v>
      </c>
      <c r="N92" s="10" t="s">
        <v>1814</v>
      </c>
      <c r="O92" s="7" t="s">
        <v>1815</v>
      </c>
      <c r="P92" s="7" t="s">
        <v>1294</v>
      </c>
      <c r="Q92" s="10" t="s">
        <v>37</v>
      </c>
      <c r="R92" s="10" t="s">
        <v>38</v>
      </c>
      <c r="S92" s="10" t="s">
        <v>57</v>
      </c>
      <c r="T92" s="68"/>
    </row>
    <row r="93" spans="1:20" x14ac:dyDescent="0.25">
      <c r="A93" s="8" t="s">
        <v>634</v>
      </c>
      <c r="B93" s="8">
        <v>409384</v>
      </c>
      <c r="C93" s="8" t="s">
        <v>635</v>
      </c>
      <c r="D93" s="8" t="s">
        <v>636</v>
      </c>
      <c r="E93" s="8" t="s">
        <v>637</v>
      </c>
      <c r="F93" s="8" t="s">
        <v>638</v>
      </c>
      <c r="G93" s="8" t="s">
        <v>639</v>
      </c>
      <c r="H93" s="8" t="s">
        <v>640</v>
      </c>
      <c r="I93" s="8" t="s">
        <v>34</v>
      </c>
      <c r="J93" s="8"/>
      <c r="K93" s="8" t="s">
        <v>35</v>
      </c>
      <c r="L93" s="8" t="s">
        <v>73</v>
      </c>
      <c r="M93" s="7" t="s">
        <v>1806</v>
      </c>
      <c r="N93" s="8" t="s">
        <v>1810</v>
      </c>
      <c r="O93" s="7" t="s">
        <v>1811</v>
      </c>
      <c r="P93" s="7" t="s">
        <v>1294</v>
      </c>
      <c r="Q93" s="8" t="s">
        <v>56</v>
      </c>
      <c r="R93" s="8" t="s">
        <v>38</v>
      </c>
      <c r="S93" s="8" t="s">
        <v>39</v>
      </c>
      <c r="T93" s="68"/>
    </row>
    <row r="94" spans="1:20" x14ac:dyDescent="0.25">
      <c r="A94" s="10" t="s">
        <v>641</v>
      </c>
      <c r="B94" s="10">
        <v>409698</v>
      </c>
      <c r="C94" s="10" t="s">
        <v>642</v>
      </c>
      <c r="D94" s="10" t="s">
        <v>643</v>
      </c>
      <c r="E94" s="10" t="s">
        <v>644</v>
      </c>
      <c r="F94" s="10" t="s">
        <v>645</v>
      </c>
      <c r="G94" s="10" t="s">
        <v>646</v>
      </c>
      <c r="H94" s="10" t="s">
        <v>647</v>
      </c>
      <c r="I94" s="10" t="s">
        <v>34</v>
      </c>
      <c r="J94" s="10"/>
      <c r="K94" s="10" t="s">
        <v>35</v>
      </c>
      <c r="L94" s="10" t="s">
        <v>73</v>
      </c>
      <c r="M94" s="7" t="s">
        <v>1806</v>
      </c>
      <c r="N94" s="10" t="s">
        <v>1810</v>
      </c>
      <c r="O94" s="7" t="s">
        <v>1811</v>
      </c>
      <c r="P94" s="7" t="s">
        <v>1294</v>
      </c>
      <c r="Q94" s="10" t="s">
        <v>74</v>
      </c>
      <c r="R94" s="10" t="s">
        <v>38</v>
      </c>
      <c r="S94" s="10" t="s">
        <v>39</v>
      </c>
      <c r="T94" s="68"/>
    </row>
    <row r="95" spans="1:20" x14ac:dyDescent="0.25">
      <c r="A95" s="8" t="s">
        <v>648</v>
      </c>
      <c r="B95" s="8">
        <v>713462</v>
      </c>
      <c r="C95" s="8" t="s">
        <v>462</v>
      </c>
      <c r="D95" s="8" t="s">
        <v>649</v>
      </c>
      <c r="E95" s="8" t="s">
        <v>649</v>
      </c>
      <c r="F95" s="8" t="s">
        <v>465</v>
      </c>
      <c r="G95" s="8" t="s">
        <v>466</v>
      </c>
      <c r="H95" s="8" t="s">
        <v>467</v>
      </c>
      <c r="I95" s="8" t="s">
        <v>108</v>
      </c>
      <c r="J95" s="8"/>
      <c r="K95" s="8" t="s">
        <v>109</v>
      </c>
      <c r="L95" s="8" t="s">
        <v>64</v>
      </c>
      <c r="M95" s="7" t="s">
        <v>1804</v>
      </c>
      <c r="N95" s="8" t="s">
        <v>1816</v>
      </c>
      <c r="O95" s="7" t="s">
        <v>1817</v>
      </c>
      <c r="P95" s="7" t="s">
        <v>1294</v>
      </c>
      <c r="Q95" s="8" t="s">
        <v>37</v>
      </c>
      <c r="R95" s="8" t="s">
        <v>38</v>
      </c>
      <c r="S95" s="9" t="s">
        <v>116</v>
      </c>
      <c r="T95" s="68"/>
    </row>
    <row r="96" spans="1:20" hidden="1" x14ac:dyDescent="0.25">
      <c r="A96" s="10" t="s">
        <v>650</v>
      </c>
      <c r="B96" s="10">
        <v>361592</v>
      </c>
      <c r="C96" s="10" t="s">
        <v>651</v>
      </c>
      <c r="D96" s="10" t="s">
        <v>652</v>
      </c>
      <c r="E96" s="10" t="s">
        <v>652</v>
      </c>
      <c r="F96" s="10" t="s">
        <v>653</v>
      </c>
      <c r="G96" s="10" t="s">
        <v>654</v>
      </c>
      <c r="H96" s="10" t="s">
        <v>655</v>
      </c>
      <c r="I96" s="10" t="s">
        <v>51</v>
      </c>
      <c r="J96" s="10" t="s">
        <v>52</v>
      </c>
      <c r="K96" s="10" t="s">
        <v>53</v>
      </c>
      <c r="L96" s="10" t="s">
        <v>54</v>
      </c>
      <c r="M96" s="7" t="s">
        <v>55</v>
      </c>
      <c r="N96" s="10" t="e">
        <v>#N/A</v>
      </c>
      <c r="O96" s="7" t="e">
        <v>#N/A</v>
      </c>
      <c r="P96" s="66" t="s">
        <v>1775</v>
      </c>
      <c r="Q96" s="10" t="s">
        <v>56</v>
      </c>
      <c r="R96" s="10" t="s">
        <v>38</v>
      </c>
      <c r="S96" s="7" t="s">
        <v>101</v>
      </c>
      <c r="T96" s="68"/>
    </row>
    <row r="97" spans="1:20" x14ac:dyDescent="0.25">
      <c r="A97" s="8" t="s">
        <v>656</v>
      </c>
      <c r="B97" s="8">
        <v>409423</v>
      </c>
      <c r="C97" s="8" t="s">
        <v>657</v>
      </c>
      <c r="D97" s="8" t="s">
        <v>658</v>
      </c>
      <c r="E97" s="8" t="s">
        <v>659</v>
      </c>
      <c r="F97" s="8" t="s">
        <v>660</v>
      </c>
      <c r="G97" s="8" t="s">
        <v>661</v>
      </c>
      <c r="H97" s="8" t="s">
        <v>662</v>
      </c>
      <c r="I97" s="8" t="s">
        <v>34</v>
      </c>
      <c r="J97" s="8"/>
      <c r="K97" s="8" t="s">
        <v>35</v>
      </c>
      <c r="L97" s="8" t="s">
        <v>73</v>
      </c>
      <c r="M97" s="7" t="s">
        <v>1806</v>
      </c>
      <c r="N97" s="8" t="s">
        <v>1810</v>
      </c>
      <c r="O97" s="7" t="s">
        <v>1811</v>
      </c>
      <c r="P97" s="7" t="s">
        <v>1294</v>
      </c>
      <c r="Q97" s="8" t="s">
        <v>74</v>
      </c>
      <c r="R97" s="8" t="s">
        <v>38</v>
      </c>
      <c r="S97" s="9" t="s">
        <v>39</v>
      </c>
      <c r="T97" s="68"/>
    </row>
    <row r="98" spans="1:20" x14ac:dyDescent="0.25">
      <c r="A98" s="10" t="s">
        <v>663</v>
      </c>
      <c r="B98" s="10">
        <v>281376</v>
      </c>
      <c r="C98" s="10" t="s">
        <v>664</v>
      </c>
      <c r="D98" s="10" t="s">
        <v>665</v>
      </c>
      <c r="E98" s="10" t="s">
        <v>666</v>
      </c>
      <c r="F98" s="10" t="s">
        <v>667</v>
      </c>
      <c r="G98" s="10" t="s">
        <v>668</v>
      </c>
      <c r="H98" s="10" t="s">
        <v>669</v>
      </c>
      <c r="I98" s="10" t="s">
        <v>108</v>
      </c>
      <c r="J98" s="10"/>
      <c r="K98" s="10" t="s">
        <v>109</v>
      </c>
      <c r="L98" s="10" t="s">
        <v>64</v>
      </c>
      <c r="M98" s="7" t="s">
        <v>1804</v>
      </c>
      <c r="N98" s="10" t="s">
        <v>1816</v>
      </c>
      <c r="O98" s="7" t="s">
        <v>1817</v>
      </c>
      <c r="P98" s="7" t="s">
        <v>1294</v>
      </c>
      <c r="Q98" s="10" t="s">
        <v>150</v>
      </c>
      <c r="R98" s="10" t="s">
        <v>38</v>
      </c>
      <c r="S98" s="7" t="s">
        <v>116</v>
      </c>
      <c r="T98" s="68"/>
    </row>
    <row r="99" spans="1:20" x14ac:dyDescent="0.25">
      <c r="A99" s="8" t="s">
        <v>670</v>
      </c>
      <c r="B99" s="8">
        <v>409246</v>
      </c>
      <c r="C99" s="8" t="s">
        <v>671</v>
      </c>
      <c r="D99" s="8" t="s">
        <v>672</v>
      </c>
      <c r="E99" s="8" t="s">
        <v>673</v>
      </c>
      <c r="F99" s="8" t="s">
        <v>674</v>
      </c>
      <c r="G99" s="8" t="s">
        <v>675</v>
      </c>
      <c r="H99" s="8" t="s">
        <v>676</v>
      </c>
      <c r="I99" s="8" t="s">
        <v>34</v>
      </c>
      <c r="J99" s="8"/>
      <c r="K99" s="8" t="s">
        <v>35</v>
      </c>
      <c r="L99" s="8" t="s">
        <v>73</v>
      </c>
      <c r="M99" s="7" t="s">
        <v>1806</v>
      </c>
      <c r="N99" s="8" t="s">
        <v>1810</v>
      </c>
      <c r="O99" s="7" t="s">
        <v>1811</v>
      </c>
      <c r="P99" s="7" t="s">
        <v>1294</v>
      </c>
      <c r="Q99" s="8" t="s">
        <v>74</v>
      </c>
      <c r="R99" s="8" t="s">
        <v>38</v>
      </c>
      <c r="S99" s="8" t="s">
        <v>39</v>
      </c>
      <c r="T99" s="68"/>
    </row>
    <row r="100" spans="1:20" x14ac:dyDescent="0.25">
      <c r="A100" s="10" t="s">
        <v>677</v>
      </c>
      <c r="B100" s="10">
        <v>281471</v>
      </c>
      <c r="C100" s="10" t="s">
        <v>678</v>
      </c>
      <c r="D100" s="10" t="s">
        <v>679</v>
      </c>
      <c r="E100" s="10" t="s">
        <v>680</v>
      </c>
      <c r="F100" s="10" t="s">
        <v>681</v>
      </c>
      <c r="G100" s="10" t="s">
        <v>682</v>
      </c>
      <c r="H100" s="10" t="s">
        <v>683</v>
      </c>
      <c r="I100" s="10" t="s">
        <v>71</v>
      </c>
      <c r="J100" s="10"/>
      <c r="K100" s="10" t="s">
        <v>72</v>
      </c>
      <c r="L100" s="10" t="s">
        <v>36</v>
      </c>
      <c r="M100" s="7" t="s">
        <v>1808</v>
      </c>
      <c r="N100" s="10" t="s">
        <v>1814</v>
      </c>
      <c r="O100" s="7" t="s">
        <v>1815</v>
      </c>
      <c r="P100" s="7" t="s">
        <v>1294</v>
      </c>
      <c r="Q100" s="10" t="s">
        <v>150</v>
      </c>
      <c r="R100" s="10" t="s">
        <v>38</v>
      </c>
      <c r="S100" s="10" t="s">
        <v>89</v>
      </c>
      <c r="T100" s="68"/>
    </row>
    <row r="101" spans="1:20" hidden="1" x14ac:dyDescent="0.25">
      <c r="A101" s="8" t="s">
        <v>684</v>
      </c>
      <c r="B101" s="8">
        <v>830365</v>
      </c>
      <c r="C101" s="8" t="s">
        <v>685</v>
      </c>
      <c r="D101" s="8" t="s">
        <v>686</v>
      </c>
      <c r="E101" s="8" t="s">
        <v>686</v>
      </c>
      <c r="F101" s="8" t="s">
        <v>687</v>
      </c>
      <c r="G101" s="8" t="s">
        <v>688</v>
      </c>
      <c r="H101" s="8" t="s">
        <v>683</v>
      </c>
      <c r="I101" s="8" t="s">
        <v>96</v>
      </c>
      <c r="J101" s="8" t="s">
        <v>123</v>
      </c>
      <c r="K101" s="8" t="s">
        <v>98</v>
      </c>
      <c r="L101" s="8" t="s">
        <v>99</v>
      </c>
      <c r="M101" s="7" t="s">
        <v>100</v>
      </c>
      <c r="N101" s="8" t="e">
        <v>#N/A</v>
      </c>
      <c r="O101" s="7" t="e">
        <v>#N/A</v>
      </c>
      <c r="P101" s="66" t="s">
        <v>1775</v>
      </c>
      <c r="Q101" s="8" t="s">
        <v>74</v>
      </c>
      <c r="R101" s="8" t="s">
        <v>38</v>
      </c>
      <c r="S101" s="8" t="s">
        <v>101</v>
      </c>
      <c r="T101" s="68"/>
    </row>
    <row r="102" spans="1:20" x14ac:dyDescent="0.25">
      <c r="A102" s="10" t="s">
        <v>689</v>
      </c>
      <c r="B102" s="10">
        <v>409796</v>
      </c>
      <c r="C102" s="10" t="s">
        <v>690</v>
      </c>
      <c r="D102" s="10" t="s">
        <v>691</v>
      </c>
      <c r="E102" s="10" t="s">
        <v>692</v>
      </c>
      <c r="F102" s="10" t="s">
        <v>693</v>
      </c>
      <c r="G102" s="10" t="s">
        <v>694</v>
      </c>
      <c r="H102" s="10" t="s">
        <v>695</v>
      </c>
      <c r="I102" s="10" t="s">
        <v>34</v>
      </c>
      <c r="J102" s="10"/>
      <c r="K102" s="10" t="s">
        <v>35</v>
      </c>
      <c r="L102" s="10" t="s">
        <v>73</v>
      </c>
      <c r="M102" s="7" t="s">
        <v>1806</v>
      </c>
      <c r="N102" s="10" t="s">
        <v>1810</v>
      </c>
      <c r="O102" s="7" t="s">
        <v>1811</v>
      </c>
      <c r="P102" s="7" t="s">
        <v>1294</v>
      </c>
      <c r="Q102" s="10" t="s">
        <v>74</v>
      </c>
      <c r="R102" s="10" t="s">
        <v>38</v>
      </c>
      <c r="S102" s="10" t="s">
        <v>39</v>
      </c>
      <c r="T102" s="68"/>
    </row>
    <row r="103" spans="1:20" x14ac:dyDescent="0.25">
      <c r="A103" s="8" t="s">
        <v>696</v>
      </c>
      <c r="B103" s="8">
        <v>281454</v>
      </c>
      <c r="C103" s="8" t="s">
        <v>697</v>
      </c>
      <c r="D103" s="8" t="s">
        <v>698</v>
      </c>
      <c r="E103" s="8" t="s">
        <v>699</v>
      </c>
      <c r="F103" s="8" t="s">
        <v>408</v>
      </c>
      <c r="G103" s="8" t="s">
        <v>409</v>
      </c>
      <c r="H103" s="8" t="s">
        <v>410</v>
      </c>
      <c r="I103" s="8"/>
      <c r="J103" s="8"/>
      <c r="K103" s="8"/>
      <c r="L103" s="8"/>
      <c r="M103" s="7" t="s">
        <v>1806</v>
      </c>
      <c r="N103" s="8" t="s">
        <v>1810</v>
      </c>
      <c r="O103" s="7" t="s">
        <v>1811</v>
      </c>
      <c r="P103" s="7" t="s">
        <v>1294</v>
      </c>
      <c r="Q103" s="8"/>
      <c r="R103" s="8" t="s">
        <v>36</v>
      </c>
      <c r="S103" s="8" t="s">
        <v>39</v>
      </c>
      <c r="T103" s="68"/>
    </row>
    <row r="104" spans="1:20" x14ac:dyDescent="0.25">
      <c r="A104" s="10" t="s">
        <v>700</v>
      </c>
      <c r="B104" s="10">
        <v>979297</v>
      </c>
      <c r="C104" s="10" t="s">
        <v>701</v>
      </c>
      <c r="D104" s="10" t="s">
        <v>702</v>
      </c>
      <c r="E104" s="10" t="s">
        <v>703</v>
      </c>
      <c r="F104" s="10" t="s">
        <v>704</v>
      </c>
      <c r="G104" s="10" t="s">
        <v>705</v>
      </c>
      <c r="H104" s="10" t="s">
        <v>706</v>
      </c>
      <c r="I104" s="10" t="s">
        <v>71</v>
      </c>
      <c r="J104" s="10"/>
      <c r="K104" s="10" t="s">
        <v>72</v>
      </c>
      <c r="L104" s="10" t="s">
        <v>82</v>
      </c>
      <c r="M104" s="7" t="s">
        <v>1808</v>
      </c>
      <c r="N104" s="10" t="s">
        <v>1814</v>
      </c>
      <c r="O104" s="7" t="s">
        <v>1815</v>
      </c>
      <c r="P104" s="7" t="s">
        <v>1294</v>
      </c>
      <c r="Q104" s="10" t="s">
        <v>37</v>
      </c>
      <c r="R104" s="10" t="s">
        <v>38</v>
      </c>
      <c r="S104" s="10" t="s">
        <v>89</v>
      </c>
      <c r="T104" s="68"/>
    </row>
    <row r="105" spans="1:20" x14ac:dyDescent="0.25">
      <c r="A105" s="8" t="s">
        <v>707</v>
      </c>
      <c r="B105" s="8">
        <v>409935</v>
      </c>
      <c r="C105" s="8" t="s">
        <v>708</v>
      </c>
      <c r="D105" s="8" t="s">
        <v>709</v>
      </c>
      <c r="E105" s="8" t="s">
        <v>710</v>
      </c>
      <c r="F105" s="8" t="s">
        <v>711</v>
      </c>
      <c r="G105" s="8" t="s">
        <v>712</v>
      </c>
      <c r="H105" s="8" t="s">
        <v>713</v>
      </c>
      <c r="I105" s="8" t="s">
        <v>71</v>
      </c>
      <c r="J105" s="8"/>
      <c r="K105" s="8" t="s">
        <v>72</v>
      </c>
      <c r="L105" s="8" t="s">
        <v>73</v>
      </c>
      <c r="M105" s="7" t="s">
        <v>1808</v>
      </c>
      <c r="N105" s="8" t="s">
        <v>1814</v>
      </c>
      <c r="O105" s="7" t="s">
        <v>1815</v>
      </c>
      <c r="P105" s="7" t="s">
        <v>1294</v>
      </c>
      <c r="Q105" s="8" t="s">
        <v>150</v>
      </c>
      <c r="R105" s="8" t="s">
        <v>38</v>
      </c>
      <c r="S105" s="9" t="s">
        <v>89</v>
      </c>
      <c r="T105" s="68"/>
    </row>
    <row r="106" spans="1:20" x14ac:dyDescent="0.25">
      <c r="A106" s="10" t="s">
        <v>714</v>
      </c>
      <c r="B106" s="10">
        <v>281463</v>
      </c>
      <c r="C106" s="10" t="s">
        <v>715</v>
      </c>
      <c r="D106" s="10" t="s">
        <v>716</v>
      </c>
      <c r="E106" s="10" t="s">
        <v>717</v>
      </c>
      <c r="F106" s="10" t="s">
        <v>718</v>
      </c>
      <c r="G106" s="10" t="s">
        <v>719</v>
      </c>
      <c r="H106" s="10" t="s">
        <v>720</v>
      </c>
      <c r="I106" s="10" t="s">
        <v>108</v>
      </c>
      <c r="J106" s="10"/>
      <c r="K106" s="10" t="s">
        <v>109</v>
      </c>
      <c r="L106" s="10" t="s">
        <v>64</v>
      </c>
      <c r="M106" s="7" t="s">
        <v>1804</v>
      </c>
      <c r="N106" s="10" t="s">
        <v>1816</v>
      </c>
      <c r="O106" s="7" t="s">
        <v>1817</v>
      </c>
      <c r="P106" s="7" t="s">
        <v>1294</v>
      </c>
      <c r="Q106" s="10" t="s">
        <v>37</v>
      </c>
      <c r="R106" s="10" t="s">
        <v>38</v>
      </c>
      <c r="S106" s="7" t="s">
        <v>116</v>
      </c>
      <c r="T106" s="68"/>
    </row>
    <row r="107" spans="1:20" hidden="1" x14ac:dyDescent="0.25">
      <c r="A107" s="8" t="s">
        <v>721</v>
      </c>
      <c r="B107" s="8">
        <v>956722</v>
      </c>
      <c r="C107" s="8" t="s">
        <v>722</v>
      </c>
      <c r="D107" s="8" t="s">
        <v>723</v>
      </c>
      <c r="E107" s="8" t="s">
        <v>723</v>
      </c>
      <c r="F107" s="8" t="s">
        <v>724</v>
      </c>
      <c r="G107" s="8" t="s">
        <v>725</v>
      </c>
      <c r="H107" s="8" t="s">
        <v>726</v>
      </c>
      <c r="I107" s="8" t="s">
        <v>96</v>
      </c>
      <c r="J107" s="8" t="s">
        <v>97</v>
      </c>
      <c r="K107" s="8" t="s">
        <v>98</v>
      </c>
      <c r="L107" s="8" t="s">
        <v>99</v>
      </c>
      <c r="M107" s="7" t="s">
        <v>182</v>
      </c>
      <c r="N107" s="8" t="e">
        <v>#N/A</v>
      </c>
      <c r="O107" s="7" t="e">
        <v>#N/A</v>
      </c>
      <c r="P107" s="66" t="s">
        <v>1775</v>
      </c>
      <c r="Q107" s="8" t="s">
        <v>56</v>
      </c>
      <c r="R107" s="8" t="s">
        <v>38</v>
      </c>
      <c r="S107" s="9" t="s">
        <v>101</v>
      </c>
      <c r="T107" s="68"/>
    </row>
    <row r="108" spans="1:20" x14ac:dyDescent="0.25">
      <c r="A108" s="10" t="s">
        <v>727</v>
      </c>
      <c r="B108" s="10">
        <v>936336</v>
      </c>
      <c r="C108" s="10" t="s">
        <v>728</v>
      </c>
      <c r="D108" s="10" t="s">
        <v>729</v>
      </c>
      <c r="E108" s="10" t="s">
        <v>730</v>
      </c>
      <c r="F108" s="10" t="s">
        <v>731</v>
      </c>
      <c r="G108" s="10" t="s">
        <v>732</v>
      </c>
      <c r="H108" s="10" t="s">
        <v>733</v>
      </c>
      <c r="I108" s="10" t="s">
        <v>34</v>
      </c>
      <c r="J108" s="10"/>
      <c r="K108" s="10" t="s">
        <v>35</v>
      </c>
      <c r="L108" s="10" t="s">
        <v>36</v>
      </c>
      <c r="M108" s="7" t="s">
        <v>1806</v>
      </c>
      <c r="N108" s="10" t="s">
        <v>1810</v>
      </c>
      <c r="O108" s="7" t="s">
        <v>1811</v>
      </c>
      <c r="P108" s="7" t="s">
        <v>1294</v>
      </c>
      <c r="Q108" s="10" t="s">
        <v>56</v>
      </c>
      <c r="R108" s="10" t="s">
        <v>38</v>
      </c>
      <c r="S108" s="10" t="s">
        <v>39</v>
      </c>
      <c r="T108" s="68"/>
    </row>
    <row r="109" spans="1:20" hidden="1" x14ac:dyDescent="0.25">
      <c r="A109" s="8" t="s">
        <v>734</v>
      </c>
      <c r="B109" s="8">
        <v>956542</v>
      </c>
      <c r="C109" s="8" t="s">
        <v>735</v>
      </c>
      <c r="D109" s="8" t="s">
        <v>736</v>
      </c>
      <c r="E109" s="8" t="s">
        <v>737</v>
      </c>
      <c r="F109" s="8" t="s">
        <v>738</v>
      </c>
      <c r="G109" s="8" t="s">
        <v>739</v>
      </c>
      <c r="H109" s="8" t="s">
        <v>740</v>
      </c>
      <c r="I109" s="8" t="s">
        <v>96</v>
      </c>
      <c r="J109" s="8" t="s">
        <v>226</v>
      </c>
      <c r="K109" s="8" t="s">
        <v>98</v>
      </c>
      <c r="L109" s="8" t="s">
        <v>54</v>
      </c>
      <c r="M109" s="7" t="s">
        <v>227</v>
      </c>
      <c r="N109" s="8" t="e">
        <v>#N/A</v>
      </c>
      <c r="O109" s="7" t="e">
        <v>#N/A</v>
      </c>
      <c r="P109" s="66" t="s">
        <v>1775</v>
      </c>
      <c r="Q109" s="8" t="s">
        <v>150</v>
      </c>
      <c r="R109" s="8" t="s">
        <v>38</v>
      </c>
      <c r="S109" s="8" t="s">
        <v>101</v>
      </c>
      <c r="T109" s="68"/>
    </row>
    <row r="110" spans="1:20" x14ac:dyDescent="0.25">
      <c r="A110" s="10" t="s">
        <v>741</v>
      </c>
      <c r="B110" s="10">
        <v>281393</v>
      </c>
      <c r="C110" s="10" t="s">
        <v>742</v>
      </c>
      <c r="D110" s="10" t="s">
        <v>743</v>
      </c>
      <c r="E110" s="10"/>
      <c r="F110" s="10"/>
      <c r="G110" s="10"/>
      <c r="H110" s="10"/>
      <c r="I110" s="10"/>
      <c r="J110" s="10"/>
      <c r="K110" s="10"/>
      <c r="L110" s="10"/>
      <c r="M110" s="7" t="s">
        <v>1808</v>
      </c>
      <c r="N110" s="10" t="s">
        <v>1814</v>
      </c>
      <c r="O110" s="7" t="s">
        <v>1815</v>
      </c>
      <c r="P110" s="7" t="s">
        <v>1294</v>
      </c>
      <c r="Q110" s="10"/>
      <c r="R110" s="10" t="s">
        <v>36</v>
      </c>
      <c r="S110" s="7" t="s">
        <v>89</v>
      </c>
      <c r="T110" s="68"/>
    </row>
    <row r="111" spans="1:20" hidden="1" x14ac:dyDescent="0.25">
      <c r="A111" s="8" t="s">
        <v>744</v>
      </c>
      <c r="B111" s="8">
        <v>956233</v>
      </c>
      <c r="C111" s="8" t="s">
        <v>745</v>
      </c>
      <c r="D111" s="8" t="s">
        <v>746</v>
      </c>
      <c r="E111" s="8" t="s">
        <v>746</v>
      </c>
      <c r="F111" s="8" t="s">
        <v>747</v>
      </c>
      <c r="G111" s="8" t="s">
        <v>748</v>
      </c>
      <c r="H111" s="8" t="s">
        <v>749</v>
      </c>
      <c r="I111" s="8" t="s">
        <v>96</v>
      </c>
      <c r="J111" s="8" t="s">
        <v>226</v>
      </c>
      <c r="K111" s="8" t="s">
        <v>98</v>
      </c>
      <c r="L111" s="8" t="s">
        <v>99</v>
      </c>
      <c r="M111" s="7" t="s">
        <v>227</v>
      </c>
      <c r="N111" s="8" t="e">
        <v>#N/A</v>
      </c>
      <c r="O111" s="7" t="e">
        <v>#N/A</v>
      </c>
      <c r="P111" s="66" t="s">
        <v>1775</v>
      </c>
      <c r="Q111" s="8" t="s">
        <v>56</v>
      </c>
      <c r="R111" s="8" t="s">
        <v>38</v>
      </c>
      <c r="S111" s="8" t="s">
        <v>101</v>
      </c>
      <c r="T111" s="68"/>
    </row>
    <row r="112" spans="1:20" x14ac:dyDescent="0.25">
      <c r="A112" s="10" t="s">
        <v>750</v>
      </c>
      <c r="B112" s="10">
        <v>409755</v>
      </c>
      <c r="C112" s="10" t="s">
        <v>751</v>
      </c>
      <c r="D112" s="10" t="s">
        <v>752</v>
      </c>
      <c r="E112" s="10" t="s">
        <v>753</v>
      </c>
      <c r="F112" s="10" t="s">
        <v>754</v>
      </c>
      <c r="G112" s="10" t="s">
        <v>755</v>
      </c>
      <c r="H112" s="10" t="s">
        <v>756</v>
      </c>
      <c r="I112" s="10" t="s">
        <v>34</v>
      </c>
      <c r="J112" s="10"/>
      <c r="K112" s="10" t="s">
        <v>35</v>
      </c>
      <c r="L112" s="10" t="s">
        <v>82</v>
      </c>
      <c r="M112" s="7" t="s">
        <v>1806</v>
      </c>
      <c r="N112" s="10" t="s">
        <v>1810</v>
      </c>
      <c r="O112" s="7" t="s">
        <v>1811</v>
      </c>
      <c r="P112" s="7" t="s">
        <v>1294</v>
      </c>
      <c r="Q112" s="10" t="s">
        <v>56</v>
      </c>
      <c r="R112" s="10" t="s">
        <v>38</v>
      </c>
      <c r="S112" s="10" t="s">
        <v>39</v>
      </c>
      <c r="T112" s="68"/>
    </row>
    <row r="113" spans="1:20" x14ac:dyDescent="0.25">
      <c r="A113" s="8" t="s">
        <v>757</v>
      </c>
      <c r="B113" s="8">
        <v>936348</v>
      </c>
      <c r="C113" s="8" t="s">
        <v>758</v>
      </c>
      <c r="D113" s="8" t="s">
        <v>759</v>
      </c>
      <c r="E113" s="8" t="s">
        <v>760</v>
      </c>
      <c r="F113" s="8" t="s">
        <v>761</v>
      </c>
      <c r="G113" s="8" t="s">
        <v>762</v>
      </c>
      <c r="H113" s="8" t="s">
        <v>763</v>
      </c>
      <c r="I113" s="8" t="s">
        <v>108</v>
      </c>
      <c r="J113" s="8"/>
      <c r="K113" s="8" t="s">
        <v>109</v>
      </c>
      <c r="L113" s="8" t="s">
        <v>73</v>
      </c>
      <c r="M113" s="7" t="s">
        <v>1804</v>
      </c>
      <c r="N113" s="8" t="s">
        <v>1816</v>
      </c>
      <c r="O113" s="7" t="s">
        <v>1817</v>
      </c>
      <c r="P113" s="7" t="s">
        <v>1294</v>
      </c>
      <c r="Q113" s="8" t="s">
        <v>74</v>
      </c>
      <c r="R113" s="8" t="s">
        <v>38</v>
      </c>
      <c r="S113" s="8" t="s">
        <v>39</v>
      </c>
      <c r="T113" s="68"/>
    </row>
    <row r="114" spans="1:20" x14ac:dyDescent="0.25">
      <c r="A114" s="10" t="s">
        <v>764</v>
      </c>
      <c r="B114" s="10">
        <v>281489</v>
      </c>
      <c r="C114" s="10" t="s">
        <v>765</v>
      </c>
      <c r="D114" s="10" t="s">
        <v>766</v>
      </c>
      <c r="E114" s="10" t="s">
        <v>767</v>
      </c>
      <c r="F114" s="10" t="s">
        <v>768</v>
      </c>
      <c r="G114" s="10" t="s">
        <v>769</v>
      </c>
      <c r="H114" s="10" t="s">
        <v>770</v>
      </c>
      <c r="I114" s="10" t="s">
        <v>71</v>
      </c>
      <c r="J114" s="10"/>
      <c r="K114" s="10" t="s">
        <v>72</v>
      </c>
      <c r="L114" s="10" t="s">
        <v>73</v>
      </c>
      <c r="M114" s="7" t="s">
        <v>1808</v>
      </c>
      <c r="N114" s="10" t="s">
        <v>1814</v>
      </c>
      <c r="O114" s="7" t="s">
        <v>1815</v>
      </c>
      <c r="P114" s="7" t="s">
        <v>1294</v>
      </c>
      <c r="Q114" s="10" t="s">
        <v>56</v>
      </c>
      <c r="R114" s="10" t="s">
        <v>38</v>
      </c>
      <c r="S114" s="7" t="s">
        <v>89</v>
      </c>
      <c r="T114" s="68"/>
    </row>
    <row r="115" spans="1:20" x14ac:dyDescent="0.25">
      <c r="A115" s="8" t="s">
        <v>771</v>
      </c>
      <c r="B115" s="8">
        <v>979863</v>
      </c>
      <c r="C115" s="8" t="s">
        <v>772</v>
      </c>
      <c r="D115" s="8" t="s">
        <v>773</v>
      </c>
      <c r="E115" s="8" t="s">
        <v>774</v>
      </c>
      <c r="F115" s="8" t="s">
        <v>775</v>
      </c>
      <c r="G115" s="8" t="s">
        <v>776</v>
      </c>
      <c r="H115" s="8" t="s">
        <v>777</v>
      </c>
      <c r="I115" s="8" t="s">
        <v>71</v>
      </c>
      <c r="J115" s="8"/>
      <c r="K115" s="8" t="s">
        <v>72</v>
      </c>
      <c r="L115" s="8" t="s">
        <v>82</v>
      </c>
      <c r="M115" s="7" t="s">
        <v>1808</v>
      </c>
      <c r="N115" s="8" t="s">
        <v>1814</v>
      </c>
      <c r="O115" s="7" t="s">
        <v>1815</v>
      </c>
      <c r="P115" s="7" t="s">
        <v>1294</v>
      </c>
      <c r="Q115" s="8" t="s">
        <v>74</v>
      </c>
      <c r="R115" s="8" t="s">
        <v>38</v>
      </c>
      <c r="S115" s="8" t="s">
        <v>89</v>
      </c>
      <c r="T115" s="68"/>
    </row>
    <row r="116" spans="1:20" hidden="1" x14ac:dyDescent="0.25">
      <c r="A116" s="10" t="s">
        <v>778</v>
      </c>
      <c r="B116" s="10">
        <v>361547</v>
      </c>
      <c r="C116" s="10" t="s">
        <v>779</v>
      </c>
      <c r="D116" s="10" t="s">
        <v>780</v>
      </c>
      <c r="E116" s="10" t="s">
        <v>780</v>
      </c>
      <c r="F116" s="10" t="s">
        <v>781</v>
      </c>
      <c r="G116" s="10" t="s">
        <v>782</v>
      </c>
      <c r="H116" s="10" t="s">
        <v>783</v>
      </c>
      <c r="I116" s="10" t="s">
        <v>51</v>
      </c>
      <c r="J116" s="10" t="s">
        <v>52</v>
      </c>
      <c r="K116" s="10" t="s">
        <v>53</v>
      </c>
      <c r="L116" s="10" t="s">
        <v>54</v>
      </c>
      <c r="M116" s="7" t="s">
        <v>55</v>
      </c>
      <c r="N116" s="10" t="e">
        <v>#N/A</v>
      </c>
      <c r="O116" s="7" t="e">
        <v>#N/A</v>
      </c>
      <c r="P116" s="66" t="s">
        <v>1775</v>
      </c>
      <c r="Q116" s="10" t="s">
        <v>74</v>
      </c>
      <c r="R116" s="10" t="s">
        <v>38</v>
      </c>
      <c r="S116" s="7" t="s">
        <v>101</v>
      </c>
      <c r="T116" s="68"/>
    </row>
    <row r="117" spans="1:20" x14ac:dyDescent="0.25">
      <c r="A117" s="8" t="s">
        <v>784</v>
      </c>
      <c r="B117" s="8">
        <v>409745</v>
      </c>
      <c r="C117" s="8" t="s">
        <v>785</v>
      </c>
      <c r="D117" s="8" t="s">
        <v>786</v>
      </c>
      <c r="E117" s="8" t="s">
        <v>787</v>
      </c>
      <c r="F117" s="8" t="s">
        <v>788</v>
      </c>
      <c r="G117" s="8" t="s">
        <v>789</v>
      </c>
      <c r="H117" s="8" t="s">
        <v>790</v>
      </c>
      <c r="I117" s="8" t="s">
        <v>34</v>
      </c>
      <c r="J117" s="8"/>
      <c r="K117" s="8" t="s">
        <v>35</v>
      </c>
      <c r="L117" s="8" t="s">
        <v>36</v>
      </c>
      <c r="M117" s="7" t="s">
        <v>1806</v>
      </c>
      <c r="N117" s="8" t="s">
        <v>1810</v>
      </c>
      <c r="O117" s="7" t="s">
        <v>1811</v>
      </c>
      <c r="P117" s="7" t="s">
        <v>1294</v>
      </c>
      <c r="Q117" s="8" t="s">
        <v>56</v>
      </c>
      <c r="R117" s="8" t="s">
        <v>38</v>
      </c>
      <c r="S117" s="8" t="s">
        <v>39</v>
      </c>
      <c r="T117" s="68"/>
    </row>
    <row r="118" spans="1:20" hidden="1" x14ac:dyDescent="0.25">
      <c r="A118" s="10" t="s">
        <v>791</v>
      </c>
      <c r="B118" s="10">
        <v>956682</v>
      </c>
      <c r="C118" s="10" t="s">
        <v>792</v>
      </c>
      <c r="D118" s="10" t="s">
        <v>793</v>
      </c>
      <c r="E118" s="10" t="s">
        <v>794</v>
      </c>
      <c r="F118" s="10" t="s">
        <v>795</v>
      </c>
      <c r="G118" s="10" t="s">
        <v>796</v>
      </c>
      <c r="H118" s="10" t="s">
        <v>797</v>
      </c>
      <c r="I118" s="10" t="s">
        <v>96</v>
      </c>
      <c r="J118" s="10" t="s">
        <v>389</v>
      </c>
      <c r="K118" s="10" t="s">
        <v>98</v>
      </c>
      <c r="L118" s="10" t="s">
        <v>99</v>
      </c>
      <c r="M118" s="7" t="s">
        <v>390</v>
      </c>
      <c r="N118" s="10" t="e">
        <v>#N/A</v>
      </c>
      <c r="O118" s="7" t="e">
        <v>#N/A</v>
      </c>
      <c r="P118" s="66" t="s">
        <v>1775</v>
      </c>
      <c r="Q118" s="10" t="s">
        <v>37</v>
      </c>
      <c r="R118" s="10" t="s">
        <v>38</v>
      </c>
      <c r="S118" s="7" t="s">
        <v>101</v>
      </c>
      <c r="T118" s="68"/>
    </row>
    <row r="119" spans="1:20" x14ac:dyDescent="0.25">
      <c r="A119" s="8" t="s">
        <v>798</v>
      </c>
      <c r="B119" s="8">
        <v>713795</v>
      </c>
      <c r="C119" s="8" t="s">
        <v>799</v>
      </c>
      <c r="D119" s="8" t="s">
        <v>800</v>
      </c>
      <c r="E119" s="8" t="s">
        <v>801</v>
      </c>
      <c r="F119" s="8" t="s">
        <v>802</v>
      </c>
      <c r="G119" s="8" t="s">
        <v>803</v>
      </c>
      <c r="H119" s="8" t="s">
        <v>804</v>
      </c>
      <c r="I119" s="8" t="s">
        <v>263</v>
      </c>
      <c r="J119" s="8"/>
      <c r="K119" s="8" t="s">
        <v>264</v>
      </c>
      <c r="L119" s="8" t="s">
        <v>82</v>
      </c>
      <c r="M119" s="7" t="s">
        <v>1356</v>
      </c>
      <c r="N119" s="10" t="s">
        <v>1814</v>
      </c>
      <c r="O119" s="7" t="s">
        <v>1815</v>
      </c>
      <c r="P119" s="7" t="s">
        <v>1294</v>
      </c>
      <c r="Q119" s="8" t="s">
        <v>37</v>
      </c>
      <c r="R119" s="8" t="s">
        <v>38</v>
      </c>
      <c r="S119" s="9" t="s">
        <v>57</v>
      </c>
      <c r="T119" s="68"/>
    </row>
    <row r="120" spans="1:20" hidden="1" x14ac:dyDescent="0.25">
      <c r="A120" s="10" t="s">
        <v>805</v>
      </c>
      <c r="B120" s="10">
        <v>956565</v>
      </c>
      <c r="C120" s="10" t="s">
        <v>806</v>
      </c>
      <c r="D120" s="10" t="s">
        <v>807</v>
      </c>
      <c r="E120" s="10" t="s">
        <v>807</v>
      </c>
      <c r="F120" s="10" t="s">
        <v>808</v>
      </c>
      <c r="G120" s="10" t="s">
        <v>809</v>
      </c>
      <c r="H120" s="10" t="s">
        <v>790</v>
      </c>
      <c r="I120" s="10" t="s">
        <v>96</v>
      </c>
      <c r="J120" s="10" t="s">
        <v>389</v>
      </c>
      <c r="K120" s="10" t="s">
        <v>98</v>
      </c>
      <c r="L120" s="10" t="s">
        <v>99</v>
      </c>
      <c r="M120" s="7" t="s">
        <v>227</v>
      </c>
      <c r="N120" s="10" t="e">
        <v>#N/A</v>
      </c>
      <c r="O120" s="7" t="e">
        <v>#N/A</v>
      </c>
      <c r="P120" s="66" t="s">
        <v>1775</v>
      </c>
      <c r="Q120" s="10" t="s">
        <v>56</v>
      </c>
      <c r="R120" s="10" t="s">
        <v>38</v>
      </c>
      <c r="S120" s="10" t="s">
        <v>101</v>
      </c>
      <c r="T120" s="68"/>
    </row>
    <row r="121" spans="1:20" x14ac:dyDescent="0.25">
      <c r="A121" s="8" t="s">
        <v>810</v>
      </c>
      <c r="B121" s="8">
        <v>713644</v>
      </c>
      <c r="C121" s="8" t="s">
        <v>811</v>
      </c>
      <c r="D121" s="8" t="s">
        <v>812</v>
      </c>
      <c r="E121" s="8" t="s">
        <v>813</v>
      </c>
      <c r="F121" s="8" t="s">
        <v>814</v>
      </c>
      <c r="G121" s="8" t="s">
        <v>815</v>
      </c>
      <c r="H121" s="8" t="s">
        <v>816</v>
      </c>
      <c r="I121" s="8" t="s">
        <v>263</v>
      </c>
      <c r="J121" s="8"/>
      <c r="K121" s="8" t="s">
        <v>264</v>
      </c>
      <c r="L121" s="8" t="s">
        <v>73</v>
      </c>
      <c r="M121" s="7" t="s">
        <v>1356</v>
      </c>
      <c r="N121" s="10" t="s">
        <v>1814</v>
      </c>
      <c r="O121" s="7" t="s">
        <v>1815</v>
      </c>
      <c r="P121" s="7" t="s">
        <v>1294</v>
      </c>
      <c r="Q121" s="8" t="s">
        <v>37</v>
      </c>
      <c r="R121" s="8" t="s">
        <v>38</v>
      </c>
      <c r="S121" s="8" t="s">
        <v>89</v>
      </c>
      <c r="T121" s="68"/>
    </row>
    <row r="122" spans="1:20" hidden="1" x14ac:dyDescent="0.25">
      <c r="A122" s="10" t="s">
        <v>817</v>
      </c>
      <c r="B122" s="10">
        <v>956585</v>
      </c>
      <c r="C122" s="10" t="s">
        <v>818</v>
      </c>
      <c r="D122" s="10" t="s">
        <v>819</v>
      </c>
      <c r="E122" s="10" t="s">
        <v>820</v>
      </c>
      <c r="F122" s="10" t="s">
        <v>821</v>
      </c>
      <c r="G122" s="10" t="s">
        <v>822</v>
      </c>
      <c r="H122" s="10" t="s">
        <v>816</v>
      </c>
      <c r="I122" s="10" t="s">
        <v>96</v>
      </c>
      <c r="J122" s="10" t="s">
        <v>389</v>
      </c>
      <c r="K122" s="10" t="s">
        <v>98</v>
      </c>
      <c r="L122" s="10" t="s">
        <v>99</v>
      </c>
      <c r="M122" s="7" t="s">
        <v>390</v>
      </c>
      <c r="N122" s="10" t="e">
        <v>#N/A</v>
      </c>
      <c r="O122" s="7" t="e">
        <v>#N/A</v>
      </c>
      <c r="P122" s="66" t="s">
        <v>1775</v>
      </c>
      <c r="Q122" s="10" t="s">
        <v>56</v>
      </c>
      <c r="R122" s="10" t="s">
        <v>38</v>
      </c>
      <c r="S122" s="10" t="s">
        <v>101</v>
      </c>
      <c r="T122" s="68"/>
    </row>
    <row r="123" spans="1:20" x14ac:dyDescent="0.25">
      <c r="A123" s="8" t="s">
        <v>823</v>
      </c>
      <c r="B123" s="8">
        <v>713664</v>
      </c>
      <c r="C123" s="8" t="s">
        <v>824</v>
      </c>
      <c r="D123" s="8" t="s">
        <v>825</v>
      </c>
      <c r="E123" s="8" t="s">
        <v>826</v>
      </c>
      <c r="F123" s="8" t="s">
        <v>827</v>
      </c>
      <c r="G123" s="8" t="s">
        <v>828</v>
      </c>
      <c r="H123" s="8" t="s">
        <v>829</v>
      </c>
      <c r="I123" s="8" t="s">
        <v>263</v>
      </c>
      <c r="J123" s="8"/>
      <c r="K123" s="8" t="s">
        <v>264</v>
      </c>
      <c r="L123" s="8" t="s">
        <v>64</v>
      </c>
      <c r="M123" s="7" t="s">
        <v>1356</v>
      </c>
      <c r="N123" s="10" t="s">
        <v>1812</v>
      </c>
      <c r="O123" s="7" t="s">
        <v>1813</v>
      </c>
      <c r="P123" s="7" t="s">
        <v>1294</v>
      </c>
      <c r="Q123" s="8" t="s">
        <v>37</v>
      </c>
      <c r="R123" s="8" t="s">
        <v>38</v>
      </c>
      <c r="S123" s="9" t="s">
        <v>57</v>
      </c>
      <c r="T123" s="68"/>
    </row>
    <row r="124" spans="1:20" hidden="1" x14ac:dyDescent="0.25">
      <c r="A124" s="10" t="s">
        <v>830</v>
      </c>
      <c r="B124" s="10">
        <v>361596</v>
      </c>
      <c r="C124" s="10" t="s">
        <v>831</v>
      </c>
      <c r="D124" s="10" t="s">
        <v>832</v>
      </c>
      <c r="E124" s="10" t="s">
        <v>832</v>
      </c>
      <c r="F124" s="10" t="s">
        <v>833</v>
      </c>
      <c r="G124" s="10" t="s">
        <v>834</v>
      </c>
      <c r="H124" s="10" t="s">
        <v>829</v>
      </c>
      <c r="I124" s="10" t="s">
        <v>71</v>
      </c>
      <c r="J124" s="10"/>
      <c r="K124" s="10" t="s">
        <v>72</v>
      </c>
      <c r="L124" s="10" t="s">
        <v>54</v>
      </c>
      <c r="M124" s="7" t="s">
        <v>346</v>
      </c>
      <c r="N124" s="10" t="e">
        <v>#N/A</v>
      </c>
      <c r="O124" s="7" t="e">
        <v>#N/A</v>
      </c>
      <c r="P124" s="66" t="s">
        <v>1775</v>
      </c>
      <c r="Q124" s="10" t="s">
        <v>74</v>
      </c>
      <c r="R124" s="10" t="s">
        <v>38</v>
      </c>
      <c r="S124" s="10" t="s">
        <v>101</v>
      </c>
      <c r="T124" s="68"/>
    </row>
    <row r="125" spans="1:20" x14ac:dyDescent="0.25">
      <c r="A125" s="8" t="s">
        <v>835</v>
      </c>
      <c r="B125" s="8">
        <v>713622</v>
      </c>
      <c r="C125" s="8" t="s">
        <v>836</v>
      </c>
      <c r="D125" s="8" t="s">
        <v>837</v>
      </c>
      <c r="E125" s="8" t="s">
        <v>838</v>
      </c>
      <c r="F125" s="8" t="s">
        <v>839</v>
      </c>
      <c r="G125" s="8" t="s">
        <v>840</v>
      </c>
      <c r="H125" s="8" t="s">
        <v>841</v>
      </c>
      <c r="I125" s="8" t="s">
        <v>263</v>
      </c>
      <c r="J125" s="8"/>
      <c r="K125" s="8" t="s">
        <v>264</v>
      </c>
      <c r="L125" s="8" t="s">
        <v>64</v>
      </c>
      <c r="M125" s="7" t="s">
        <v>1356</v>
      </c>
      <c r="N125" s="10" t="s">
        <v>1812</v>
      </c>
      <c r="O125" s="7" t="s">
        <v>1813</v>
      </c>
      <c r="P125" s="7" t="s">
        <v>1294</v>
      </c>
      <c r="Q125" s="8" t="s">
        <v>37</v>
      </c>
      <c r="R125" s="8" t="s">
        <v>38</v>
      </c>
      <c r="S125" s="9" t="s">
        <v>57</v>
      </c>
      <c r="T125" s="68"/>
    </row>
    <row r="126" spans="1:20" x14ac:dyDescent="0.25">
      <c r="A126" s="10" t="s">
        <v>842</v>
      </c>
      <c r="B126" s="10">
        <v>409722</v>
      </c>
      <c r="C126" s="10" t="s">
        <v>843</v>
      </c>
      <c r="D126" s="10" t="s">
        <v>844</v>
      </c>
      <c r="E126" s="10" t="s">
        <v>845</v>
      </c>
      <c r="F126" s="10" t="s">
        <v>846</v>
      </c>
      <c r="G126" s="10" t="s">
        <v>847</v>
      </c>
      <c r="H126" s="10" t="s">
        <v>848</v>
      </c>
      <c r="I126" s="10" t="s">
        <v>34</v>
      </c>
      <c r="J126" s="10"/>
      <c r="K126" s="10" t="s">
        <v>35</v>
      </c>
      <c r="L126" s="10" t="s">
        <v>73</v>
      </c>
      <c r="M126" s="7" t="s">
        <v>1806</v>
      </c>
      <c r="N126" s="10" t="s">
        <v>1810</v>
      </c>
      <c r="O126" s="7" t="s">
        <v>1811</v>
      </c>
      <c r="P126" s="7" t="s">
        <v>1294</v>
      </c>
      <c r="Q126" s="10" t="s">
        <v>150</v>
      </c>
      <c r="R126" s="10" t="s">
        <v>38</v>
      </c>
      <c r="S126" s="10" t="s">
        <v>39</v>
      </c>
      <c r="T126" s="68"/>
    </row>
    <row r="127" spans="1:20" x14ac:dyDescent="0.25">
      <c r="A127" s="8" t="s">
        <v>849</v>
      </c>
      <c r="B127" s="8">
        <v>713633</v>
      </c>
      <c r="C127" s="8" t="s">
        <v>850</v>
      </c>
      <c r="D127" s="8" t="s">
        <v>851</v>
      </c>
      <c r="E127" s="8" t="s">
        <v>852</v>
      </c>
      <c r="F127" s="8" t="s">
        <v>853</v>
      </c>
      <c r="G127" s="8" t="s">
        <v>854</v>
      </c>
      <c r="H127" s="8" t="s">
        <v>35</v>
      </c>
      <c r="I127" s="8" t="s">
        <v>263</v>
      </c>
      <c r="J127" s="8"/>
      <c r="K127" s="8" t="s">
        <v>264</v>
      </c>
      <c r="L127" s="8" t="s">
        <v>64</v>
      </c>
      <c r="M127" s="7" t="s">
        <v>1356</v>
      </c>
      <c r="N127" s="10" t="s">
        <v>1810</v>
      </c>
      <c r="O127" s="7" t="s">
        <v>1811</v>
      </c>
      <c r="P127" s="7" t="s">
        <v>1294</v>
      </c>
      <c r="Q127" s="8" t="s">
        <v>37</v>
      </c>
      <c r="R127" s="8" t="s">
        <v>38</v>
      </c>
      <c r="S127" s="9" t="s">
        <v>89</v>
      </c>
      <c r="T127" s="68"/>
    </row>
    <row r="128" spans="1:20" hidden="1" x14ac:dyDescent="0.25">
      <c r="A128" s="10" t="s">
        <v>855</v>
      </c>
      <c r="B128" s="10">
        <v>361938</v>
      </c>
      <c r="C128" s="10" t="s">
        <v>856</v>
      </c>
      <c r="D128" s="10" t="s">
        <v>857</v>
      </c>
      <c r="E128" s="10" t="s">
        <v>857</v>
      </c>
      <c r="F128" s="10" t="s">
        <v>858</v>
      </c>
      <c r="G128" s="10" t="s">
        <v>859</v>
      </c>
      <c r="H128" s="10" t="s">
        <v>860</v>
      </c>
      <c r="I128" s="10" t="s">
        <v>71</v>
      </c>
      <c r="J128" s="10"/>
      <c r="K128" s="10" t="s">
        <v>72</v>
      </c>
      <c r="L128" s="10" t="s">
        <v>54</v>
      </c>
      <c r="M128" s="7" t="s">
        <v>346</v>
      </c>
      <c r="N128" s="10" t="e">
        <v>#N/A</v>
      </c>
      <c r="O128" s="7" t="e">
        <v>#N/A</v>
      </c>
      <c r="P128" s="66" t="s">
        <v>1775</v>
      </c>
      <c r="Q128" s="10" t="s">
        <v>74</v>
      </c>
      <c r="R128" s="10" t="s">
        <v>38</v>
      </c>
      <c r="S128" s="10" t="s">
        <v>101</v>
      </c>
      <c r="T128" s="68"/>
    </row>
    <row r="129" spans="1:20" hidden="1" x14ac:dyDescent="0.25">
      <c r="A129" s="8" t="s">
        <v>861</v>
      </c>
      <c r="B129" s="8">
        <v>956350</v>
      </c>
      <c r="C129" s="8" t="s">
        <v>862</v>
      </c>
      <c r="D129" s="8" t="s">
        <v>863</v>
      </c>
      <c r="E129" s="8" t="s">
        <v>864</v>
      </c>
      <c r="F129" s="8" t="s">
        <v>865</v>
      </c>
      <c r="G129" s="8" t="s">
        <v>866</v>
      </c>
      <c r="H129" s="8" t="s">
        <v>867</v>
      </c>
      <c r="I129" s="8" t="s">
        <v>96</v>
      </c>
      <c r="J129" s="8" t="s">
        <v>226</v>
      </c>
      <c r="K129" s="8" t="s">
        <v>98</v>
      </c>
      <c r="L129" s="8" t="s">
        <v>54</v>
      </c>
      <c r="M129" s="7" t="s">
        <v>227</v>
      </c>
      <c r="N129" s="8" t="e">
        <v>#N/A</v>
      </c>
      <c r="O129" s="7" t="e">
        <v>#N/A</v>
      </c>
      <c r="P129" s="66" t="s">
        <v>1775</v>
      </c>
      <c r="Q129" s="8" t="s">
        <v>56</v>
      </c>
      <c r="R129" s="8" t="s">
        <v>38</v>
      </c>
      <c r="S129" s="9" t="s">
        <v>101</v>
      </c>
      <c r="T129" s="68"/>
    </row>
    <row r="130" spans="1:20" x14ac:dyDescent="0.25">
      <c r="A130" s="10" t="s">
        <v>868</v>
      </c>
      <c r="B130" s="10">
        <v>409883</v>
      </c>
      <c r="C130" s="10" t="s">
        <v>869</v>
      </c>
      <c r="D130" s="10" t="s">
        <v>870</v>
      </c>
      <c r="E130" s="10" t="s">
        <v>871</v>
      </c>
      <c r="F130" s="10" t="s">
        <v>872</v>
      </c>
      <c r="G130" s="10" t="s">
        <v>873</v>
      </c>
      <c r="H130" s="10" t="s">
        <v>874</v>
      </c>
      <c r="I130" s="10" t="s">
        <v>34</v>
      </c>
      <c r="J130" s="10"/>
      <c r="K130" s="10" t="s">
        <v>35</v>
      </c>
      <c r="L130" s="10" t="s">
        <v>36</v>
      </c>
      <c r="M130" s="7" t="s">
        <v>1806</v>
      </c>
      <c r="N130" s="10" t="s">
        <v>1810</v>
      </c>
      <c r="O130" s="7" t="s">
        <v>1811</v>
      </c>
      <c r="P130" s="7" t="s">
        <v>1294</v>
      </c>
      <c r="Q130" s="10" t="s">
        <v>150</v>
      </c>
      <c r="R130" s="10" t="s">
        <v>38</v>
      </c>
      <c r="S130" s="10" t="s">
        <v>39</v>
      </c>
      <c r="T130" s="68"/>
    </row>
    <row r="131" spans="1:20" x14ac:dyDescent="0.25">
      <c r="A131" s="8" t="s">
        <v>875</v>
      </c>
      <c r="B131" s="8">
        <v>713672</v>
      </c>
      <c r="C131" s="8" t="s">
        <v>876</v>
      </c>
      <c r="D131" s="8" t="s">
        <v>877</v>
      </c>
      <c r="E131" s="8" t="s">
        <v>878</v>
      </c>
      <c r="F131" s="8" t="s">
        <v>879</v>
      </c>
      <c r="G131" s="8" t="s">
        <v>880</v>
      </c>
      <c r="H131" s="8" t="s">
        <v>881</v>
      </c>
      <c r="I131" s="8" t="s">
        <v>263</v>
      </c>
      <c r="J131" s="8"/>
      <c r="K131" s="8" t="s">
        <v>264</v>
      </c>
      <c r="L131" s="8" t="s">
        <v>73</v>
      </c>
      <c r="M131" s="7" t="s">
        <v>1356</v>
      </c>
      <c r="N131" s="10" t="s">
        <v>1810</v>
      </c>
      <c r="O131" s="7" t="s">
        <v>1811</v>
      </c>
      <c r="P131" s="7" t="s">
        <v>1294</v>
      </c>
      <c r="Q131" s="8" t="s">
        <v>37</v>
      </c>
      <c r="R131" s="8" t="s">
        <v>38</v>
      </c>
      <c r="S131" s="9" t="s">
        <v>89</v>
      </c>
      <c r="T131" s="68"/>
    </row>
    <row r="132" spans="1:20" x14ac:dyDescent="0.25">
      <c r="A132" s="10" t="s">
        <v>882</v>
      </c>
      <c r="B132" s="10">
        <v>713681</v>
      </c>
      <c r="C132" s="10" t="s">
        <v>883</v>
      </c>
      <c r="D132" s="10" t="s">
        <v>884</v>
      </c>
      <c r="E132" s="10" t="s">
        <v>885</v>
      </c>
      <c r="F132" s="10" t="s">
        <v>886</v>
      </c>
      <c r="G132" s="10" t="s">
        <v>887</v>
      </c>
      <c r="H132" s="10" t="s">
        <v>888</v>
      </c>
      <c r="I132" s="10" t="s">
        <v>263</v>
      </c>
      <c r="J132" s="10"/>
      <c r="K132" s="10" t="s">
        <v>264</v>
      </c>
      <c r="L132" s="10" t="s">
        <v>36</v>
      </c>
      <c r="M132" s="7" t="s">
        <v>1356</v>
      </c>
      <c r="N132" s="10" t="s">
        <v>1816</v>
      </c>
      <c r="O132" s="7" t="s">
        <v>1817</v>
      </c>
      <c r="P132" s="7" t="s">
        <v>1294</v>
      </c>
      <c r="Q132" s="10" t="s">
        <v>37</v>
      </c>
      <c r="R132" s="10" t="s">
        <v>38</v>
      </c>
      <c r="S132" s="7" t="s">
        <v>116</v>
      </c>
      <c r="T132" s="68"/>
    </row>
    <row r="133" spans="1:20" x14ac:dyDescent="0.25">
      <c r="A133" s="8" t="s">
        <v>889</v>
      </c>
      <c r="B133" s="8">
        <v>713692</v>
      </c>
      <c r="C133" s="8" t="s">
        <v>890</v>
      </c>
      <c r="D133" s="8" t="s">
        <v>891</v>
      </c>
      <c r="E133" s="8" t="s">
        <v>892</v>
      </c>
      <c r="F133" s="8" t="s">
        <v>893</v>
      </c>
      <c r="G133" s="8" t="s">
        <v>894</v>
      </c>
      <c r="H133" s="8" t="s">
        <v>895</v>
      </c>
      <c r="I133" s="8" t="s">
        <v>263</v>
      </c>
      <c r="J133" s="8"/>
      <c r="K133" s="8" t="s">
        <v>264</v>
      </c>
      <c r="L133" s="8" t="s">
        <v>64</v>
      </c>
      <c r="M133" s="7" t="s">
        <v>1356</v>
      </c>
      <c r="N133" s="10" t="s">
        <v>1810</v>
      </c>
      <c r="O133" s="7" t="s">
        <v>1811</v>
      </c>
      <c r="P133" s="7" t="s">
        <v>1294</v>
      </c>
      <c r="Q133" s="8" t="s">
        <v>37</v>
      </c>
      <c r="R133" s="8" t="s">
        <v>38</v>
      </c>
      <c r="S133" s="8" t="s">
        <v>89</v>
      </c>
      <c r="T133" s="68"/>
    </row>
    <row r="134" spans="1:20" hidden="1" x14ac:dyDescent="0.25">
      <c r="A134" s="10" t="s">
        <v>896</v>
      </c>
      <c r="B134" s="10">
        <v>361949</v>
      </c>
      <c r="C134" s="10" t="s">
        <v>897</v>
      </c>
      <c r="D134" s="10" t="s">
        <v>898</v>
      </c>
      <c r="E134" s="10" t="s">
        <v>898</v>
      </c>
      <c r="F134" s="10" t="s">
        <v>899</v>
      </c>
      <c r="G134" s="10" t="s">
        <v>900</v>
      </c>
      <c r="H134" s="10" t="s">
        <v>901</v>
      </c>
      <c r="I134" s="10" t="s">
        <v>51</v>
      </c>
      <c r="J134" s="10" t="s">
        <v>52</v>
      </c>
      <c r="K134" s="10" t="s">
        <v>53</v>
      </c>
      <c r="L134" s="10" t="s">
        <v>54</v>
      </c>
      <c r="M134" s="7" t="s">
        <v>55</v>
      </c>
      <c r="N134" s="10" t="e">
        <v>#N/A</v>
      </c>
      <c r="O134" s="7" t="e">
        <v>#N/A</v>
      </c>
      <c r="P134" s="66" t="s">
        <v>1775</v>
      </c>
      <c r="Q134" s="10" t="s">
        <v>56</v>
      </c>
      <c r="R134" s="10" t="s">
        <v>38</v>
      </c>
      <c r="S134" s="10" t="s">
        <v>101</v>
      </c>
      <c r="T134" s="68"/>
    </row>
    <row r="135" spans="1:20" x14ac:dyDescent="0.25">
      <c r="A135" s="8" t="s">
        <v>902</v>
      </c>
      <c r="B135" s="8">
        <v>713723</v>
      </c>
      <c r="C135" s="8" t="s">
        <v>903</v>
      </c>
      <c r="D135" s="8" t="s">
        <v>904</v>
      </c>
      <c r="E135" s="8" t="s">
        <v>905</v>
      </c>
      <c r="F135" s="8" t="s">
        <v>906</v>
      </c>
      <c r="G135" s="8" t="s">
        <v>907</v>
      </c>
      <c r="H135" s="8" t="s">
        <v>908</v>
      </c>
      <c r="I135" s="8" t="s">
        <v>51</v>
      </c>
      <c r="J135" s="8"/>
      <c r="K135" s="8" t="s">
        <v>53</v>
      </c>
      <c r="L135" s="8" t="s">
        <v>36</v>
      </c>
      <c r="M135" s="7" t="s">
        <v>1807</v>
      </c>
      <c r="N135" s="8" t="s">
        <v>1812</v>
      </c>
      <c r="O135" s="7" t="s">
        <v>1813</v>
      </c>
      <c r="P135" s="7" t="s">
        <v>1294</v>
      </c>
      <c r="Q135" s="8" t="s">
        <v>37</v>
      </c>
      <c r="R135" s="8" t="s">
        <v>38</v>
      </c>
      <c r="S135" s="8" t="s">
        <v>57</v>
      </c>
      <c r="T135" s="68"/>
    </row>
    <row r="136" spans="1:20" x14ac:dyDescent="0.25">
      <c r="A136" s="10" t="s">
        <v>909</v>
      </c>
      <c r="B136" s="10">
        <v>281485</v>
      </c>
      <c r="C136" s="10" t="s">
        <v>910</v>
      </c>
      <c r="D136" s="10" t="s">
        <v>911</v>
      </c>
      <c r="E136" s="10" t="s">
        <v>912</v>
      </c>
      <c r="F136" s="10" t="s">
        <v>913</v>
      </c>
      <c r="G136" s="10" t="s">
        <v>914</v>
      </c>
      <c r="H136" s="10" t="s">
        <v>915</v>
      </c>
      <c r="I136" s="10" t="s">
        <v>71</v>
      </c>
      <c r="J136" s="10"/>
      <c r="K136" s="10" t="s">
        <v>72</v>
      </c>
      <c r="L136" s="10" t="s">
        <v>64</v>
      </c>
      <c r="M136" s="7" t="s">
        <v>1808</v>
      </c>
      <c r="N136" s="10" t="s">
        <v>1814</v>
      </c>
      <c r="O136" s="7" t="s">
        <v>1815</v>
      </c>
      <c r="P136" s="7" t="s">
        <v>1294</v>
      </c>
      <c r="Q136" s="10" t="s">
        <v>150</v>
      </c>
      <c r="R136" s="10" t="s">
        <v>38</v>
      </c>
      <c r="S136" s="10" t="s">
        <v>89</v>
      </c>
      <c r="T136" s="68"/>
    </row>
    <row r="137" spans="1:20" hidden="1" x14ac:dyDescent="0.25">
      <c r="A137" s="8" t="s">
        <v>916</v>
      </c>
      <c r="B137" s="8">
        <v>830334</v>
      </c>
      <c r="C137" s="8" t="s">
        <v>917</v>
      </c>
      <c r="D137" s="8" t="s">
        <v>918</v>
      </c>
      <c r="E137" s="8" t="s">
        <v>918</v>
      </c>
      <c r="F137" s="8" t="s">
        <v>919</v>
      </c>
      <c r="G137" s="8" t="s">
        <v>920</v>
      </c>
      <c r="H137" s="8" t="s">
        <v>921</v>
      </c>
      <c r="I137" s="8" t="s">
        <v>96</v>
      </c>
      <c r="J137" s="8" t="s">
        <v>123</v>
      </c>
      <c r="K137" s="8" t="s">
        <v>98</v>
      </c>
      <c r="L137" s="8" t="s">
        <v>99</v>
      </c>
      <c r="M137" s="7" t="s">
        <v>100</v>
      </c>
      <c r="N137" s="8" t="e">
        <v>#N/A</v>
      </c>
      <c r="O137" s="7" t="e">
        <v>#N/A</v>
      </c>
      <c r="P137" s="66" t="s">
        <v>1775</v>
      </c>
      <c r="Q137" s="8" t="s">
        <v>74</v>
      </c>
      <c r="R137" s="8" t="s">
        <v>38</v>
      </c>
      <c r="S137" s="8" t="s">
        <v>101</v>
      </c>
      <c r="T137" s="68"/>
    </row>
    <row r="138" spans="1:20" hidden="1" x14ac:dyDescent="0.25">
      <c r="A138" s="10" t="s">
        <v>922</v>
      </c>
      <c r="B138" s="10">
        <v>956787</v>
      </c>
      <c r="C138" s="10" t="s">
        <v>923</v>
      </c>
      <c r="D138" s="10" t="s">
        <v>924</v>
      </c>
      <c r="E138" s="10" t="s">
        <v>924</v>
      </c>
      <c r="F138" s="10" t="s">
        <v>925</v>
      </c>
      <c r="G138" s="10" t="s">
        <v>926</v>
      </c>
      <c r="H138" s="10" t="s">
        <v>927</v>
      </c>
      <c r="I138" s="10" t="s">
        <v>96</v>
      </c>
      <c r="J138" s="10" t="s">
        <v>389</v>
      </c>
      <c r="K138" s="10" t="s">
        <v>98</v>
      </c>
      <c r="L138" s="10" t="s">
        <v>99</v>
      </c>
      <c r="M138" s="7" t="s">
        <v>390</v>
      </c>
      <c r="N138" s="10" t="e">
        <v>#N/A</v>
      </c>
      <c r="O138" s="7" t="e">
        <v>#N/A</v>
      </c>
      <c r="P138" s="66" t="s">
        <v>1775</v>
      </c>
      <c r="Q138" s="10" t="s">
        <v>150</v>
      </c>
      <c r="R138" s="10" t="s">
        <v>38</v>
      </c>
      <c r="S138" s="10" t="s">
        <v>101</v>
      </c>
      <c r="T138" s="68"/>
    </row>
    <row r="139" spans="1:20" x14ac:dyDescent="0.25">
      <c r="A139" s="8" t="s">
        <v>928</v>
      </c>
      <c r="B139" s="8">
        <v>281356</v>
      </c>
      <c r="C139" s="8" t="s">
        <v>929</v>
      </c>
      <c r="D139" s="8" t="s">
        <v>930</v>
      </c>
      <c r="E139" s="8" t="s">
        <v>930</v>
      </c>
      <c r="F139" s="8" t="s">
        <v>931</v>
      </c>
      <c r="G139" s="8" t="s">
        <v>932</v>
      </c>
      <c r="H139" s="8" t="s">
        <v>933</v>
      </c>
      <c r="I139" s="8" t="s">
        <v>108</v>
      </c>
      <c r="J139" s="8"/>
      <c r="K139" s="8" t="s">
        <v>109</v>
      </c>
      <c r="L139" s="8" t="s">
        <v>73</v>
      </c>
      <c r="M139" s="7" t="s">
        <v>1804</v>
      </c>
      <c r="N139" s="8" t="s">
        <v>1816</v>
      </c>
      <c r="O139" s="7" t="s">
        <v>1817</v>
      </c>
      <c r="P139" s="7" t="s">
        <v>1294</v>
      </c>
      <c r="Q139" s="8" t="s">
        <v>56</v>
      </c>
      <c r="R139" s="8" t="s">
        <v>38</v>
      </c>
      <c r="S139" s="8" t="s">
        <v>116</v>
      </c>
      <c r="T139" s="68"/>
    </row>
    <row r="140" spans="1:20" x14ac:dyDescent="0.25">
      <c r="A140" s="10" t="s">
        <v>934</v>
      </c>
      <c r="B140" s="10">
        <v>409736</v>
      </c>
      <c r="C140" s="10" t="s">
        <v>935</v>
      </c>
      <c r="D140" s="10" t="s">
        <v>936</v>
      </c>
      <c r="E140" s="10" t="s">
        <v>937</v>
      </c>
      <c r="F140" s="10" t="s">
        <v>938</v>
      </c>
      <c r="G140" s="10" t="s">
        <v>939</v>
      </c>
      <c r="H140" s="10" t="s">
        <v>940</v>
      </c>
      <c r="I140" s="10" t="s">
        <v>34</v>
      </c>
      <c r="J140" s="10"/>
      <c r="K140" s="10" t="s">
        <v>35</v>
      </c>
      <c r="L140" s="10" t="s">
        <v>36</v>
      </c>
      <c r="M140" s="7" t="s">
        <v>1806</v>
      </c>
      <c r="N140" s="10" t="s">
        <v>1810</v>
      </c>
      <c r="O140" s="7" t="s">
        <v>1811</v>
      </c>
      <c r="P140" s="7" t="s">
        <v>1294</v>
      </c>
      <c r="Q140" s="10" t="s">
        <v>56</v>
      </c>
      <c r="R140" s="10" t="s">
        <v>38</v>
      </c>
      <c r="S140" s="10" t="s">
        <v>39</v>
      </c>
      <c r="T140" s="68"/>
    </row>
    <row r="141" spans="1:20" x14ac:dyDescent="0.25">
      <c r="A141" s="8" t="s">
        <v>941</v>
      </c>
      <c r="B141" s="8">
        <v>409962</v>
      </c>
      <c r="C141" s="8" t="s">
        <v>942</v>
      </c>
      <c r="D141" s="8" t="s">
        <v>943</v>
      </c>
      <c r="E141" s="8" t="s">
        <v>944</v>
      </c>
      <c r="F141" s="8" t="s">
        <v>945</v>
      </c>
      <c r="G141" s="8" t="s">
        <v>946</v>
      </c>
      <c r="H141" s="8" t="s">
        <v>947</v>
      </c>
      <c r="I141" s="8" t="s">
        <v>34</v>
      </c>
      <c r="J141" s="8"/>
      <c r="K141" s="8" t="s">
        <v>35</v>
      </c>
      <c r="L141" s="8" t="s">
        <v>73</v>
      </c>
      <c r="M141" s="7" t="s">
        <v>1806</v>
      </c>
      <c r="N141" s="8" t="s">
        <v>1810</v>
      </c>
      <c r="O141" s="7" t="s">
        <v>1811</v>
      </c>
      <c r="P141" s="7" t="s">
        <v>1294</v>
      </c>
      <c r="Q141" s="8" t="s">
        <v>150</v>
      </c>
      <c r="R141" s="8" t="s">
        <v>38</v>
      </c>
      <c r="S141" s="8" t="s">
        <v>39</v>
      </c>
      <c r="T141" s="68"/>
    </row>
    <row r="142" spans="1:20" x14ac:dyDescent="0.25">
      <c r="A142" s="10" t="s">
        <v>948</v>
      </c>
      <c r="B142" s="10">
        <v>409982</v>
      </c>
      <c r="C142" s="10" t="s">
        <v>949</v>
      </c>
      <c r="D142" s="10" t="s">
        <v>950</v>
      </c>
      <c r="E142" s="10" t="s">
        <v>951</v>
      </c>
      <c r="F142" s="10" t="s">
        <v>952</v>
      </c>
      <c r="G142" s="10" t="s">
        <v>953</v>
      </c>
      <c r="H142" s="10" t="s">
        <v>954</v>
      </c>
      <c r="I142" s="10" t="s">
        <v>34</v>
      </c>
      <c r="J142" s="10"/>
      <c r="K142" s="10" t="s">
        <v>35</v>
      </c>
      <c r="L142" s="10" t="s">
        <v>82</v>
      </c>
      <c r="M142" s="7" t="s">
        <v>1806</v>
      </c>
      <c r="N142" s="10" t="s">
        <v>1810</v>
      </c>
      <c r="O142" s="7" t="s">
        <v>1811</v>
      </c>
      <c r="P142" s="7" t="s">
        <v>1294</v>
      </c>
      <c r="Q142" s="10" t="s">
        <v>56</v>
      </c>
      <c r="R142" s="10" t="s">
        <v>38</v>
      </c>
      <c r="S142" s="10" t="s">
        <v>39</v>
      </c>
      <c r="T142" s="68"/>
    </row>
    <row r="143" spans="1:20" x14ac:dyDescent="0.25">
      <c r="A143" s="8" t="s">
        <v>955</v>
      </c>
      <c r="B143" s="8">
        <v>409684</v>
      </c>
      <c r="C143" s="8" t="s">
        <v>956</v>
      </c>
      <c r="D143" s="8" t="s">
        <v>957</v>
      </c>
      <c r="E143" s="8"/>
      <c r="F143" s="8"/>
      <c r="G143" s="8"/>
      <c r="H143" s="8"/>
      <c r="I143" s="8"/>
      <c r="J143" s="8"/>
      <c r="K143" s="8"/>
      <c r="L143" s="8"/>
      <c r="M143" s="7" t="s">
        <v>1808</v>
      </c>
      <c r="N143" s="8" t="s">
        <v>1814</v>
      </c>
      <c r="O143" s="7" t="s">
        <v>1815</v>
      </c>
      <c r="P143" s="7" t="s">
        <v>1294</v>
      </c>
      <c r="Q143" s="8"/>
      <c r="R143" s="8" t="s">
        <v>36</v>
      </c>
      <c r="S143" s="8" t="s">
        <v>89</v>
      </c>
      <c r="T143" s="68"/>
    </row>
    <row r="144" spans="1:20" hidden="1" x14ac:dyDescent="0.25">
      <c r="A144" s="10" t="s">
        <v>958</v>
      </c>
      <c r="B144" s="10">
        <v>956943</v>
      </c>
      <c r="C144" s="10" t="s">
        <v>959</v>
      </c>
      <c r="D144" s="10" t="s">
        <v>960</v>
      </c>
      <c r="E144" s="10" t="s">
        <v>960</v>
      </c>
      <c r="F144" s="10" t="s">
        <v>961</v>
      </c>
      <c r="G144" s="10" t="s">
        <v>962</v>
      </c>
      <c r="H144" s="10" t="s">
        <v>933</v>
      </c>
      <c r="I144" s="10" t="s">
        <v>96</v>
      </c>
      <c r="J144" s="10" t="s">
        <v>226</v>
      </c>
      <c r="K144" s="10" t="s">
        <v>98</v>
      </c>
      <c r="L144" s="10" t="s">
        <v>99</v>
      </c>
      <c r="M144" s="7" t="s">
        <v>227</v>
      </c>
      <c r="N144" s="10" t="e">
        <v>#N/A</v>
      </c>
      <c r="O144" s="7" t="e">
        <v>#N/A</v>
      </c>
      <c r="P144" s="66" t="s">
        <v>1775</v>
      </c>
      <c r="Q144" s="10" t="s">
        <v>56</v>
      </c>
      <c r="R144" s="10" t="s">
        <v>38</v>
      </c>
      <c r="S144" s="10" t="s">
        <v>101</v>
      </c>
      <c r="T144" s="68"/>
    </row>
    <row r="145" spans="1:20" x14ac:dyDescent="0.25">
      <c r="A145" s="8" t="s">
        <v>963</v>
      </c>
      <c r="B145" s="8">
        <v>936857</v>
      </c>
      <c r="C145" s="8" t="s">
        <v>964</v>
      </c>
      <c r="D145" s="8" t="s">
        <v>965</v>
      </c>
      <c r="E145" s="8" t="s">
        <v>965</v>
      </c>
      <c r="F145" s="8" t="s">
        <v>966</v>
      </c>
      <c r="G145" s="8" t="s">
        <v>967</v>
      </c>
      <c r="H145" s="8" t="s">
        <v>968</v>
      </c>
      <c r="I145" s="8" t="s">
        <v>51</v>
      </c>
      <c r="J145" s="8"/>
      <c r="K145" s="8" t="s">
        <v>53</v>
      </c>
      <c r="L145" s="8" t="s">
        <v>64</v>
      </c>
      <c r="M145" s="7" t="s">
        <v>1807</v>
      </c>
      <c r="N145" s="8" t="s">
        <v>1812</v>
      </c>
      <c r="O145" s="7" t="s">
        <v>1813</v>
      </c>
      <c r="P145" s="7" t="s">
        <v>1294</v>
      </c>
      <c r="Q145" s="8" t="s">
        <v>150</v>
      </c>
      <c r="R145" s="8" t="s">
        <v>38</v>
      </c>
      <c r="S145" s="8" t="s">
        <v>116</v>
      </c>
      <c r="T145" s="68"/>
    </row>
    <row r="146" spans="1:20" x14ac:dyDescent="0.25">
      <c r="A146" s="10" t="s">
        <v>969</v>
      </c>
      <c r="B146" s="10">
        <v>713774</v>
      </c>
      <c r="C146" s="10" t="s">
        <v>970</v>
      </c>
      <c r="D146" s="10" t="s">
        <v>971</v>
      </c>
      <c r="E146" s="10" t="s">
        <v>971</v>
      </c>
      <c r="F146" s="10" t="s">
        <v>972</v>
      </c>
      <c r="G146" s="10" t="s">
        <v>973</v>
      </c>
      <c r="H146" s="10" t="s">
        <v>974</v>
      </c>
      <c r="I146" s="10" t="s">
        <v>51</v>
      </c>
      <c r="J146" s="10"/>
      <c r="K146" s="10" t="s">
        <v>53</v>
      </c>
      <c r="L146" s="10" t="s">
        <v>73</v>
      </c>
      <c r="M146" s="7" t="s">
        <v>1807</v>
      </c>
      <c r="N146" s="10" t="s">
        <v>1812</v>
      </c>
      <c r="O146" s="7" t="s">
        <v>1813</v>
      </c>
      <c r="P146" s="7" t="s">
        <v>1294</v>
      </c>
      <c r="Q146" s="10" t="s">
        <v>37</v>
      </c>
      <c r="R146" s="10" t="s">
        <v>38</v>
      </c>
      <c r="S146" s="10" t="s">
        <v>57</v>
      </c>
      <c r="T146" s="68"/>
    </row>
    <row r="147" spans="1:20" hidden="1" x14ac:dyDescent="0.25">
      <c r="A147" s="8" t="s">
        <v>975</v>
      </c>
      <c r="B147" s="8">
        <v>830773</v>
      </c>
      <c r="C147" s="8" t="s">
        <v>399</v>
      </c>
      <c r="D147" s="8" t="s">
        <v>1358</v>
      </c>
      <c r="E147" s="8" t="s">
        <v>976</v>
      </c>
      <c r="F147" s="8" t="s">
        <v>401</v>
      </c>
      <c r="G147" s="8" t="s">
        <v>402</v>
      </c>
      <c r="H147" s="8" t="s">
        <v>403</v>
      </c>
      <c r="I147" s="8" t="s">
        <v>96</v>
      </c>
      <c r="J147" s="8" t="s">
        <v>97</v>
      </c>
      <c r="K147" s="8" t="s">
        <v>98</v>
      </c>
      <c r="L147" s="8" t="s">
        <v>99</v>
      </c>
      <c r="M147" s="7" t="s">
        <v>100</v>
      </c>
      <c r="N147" s="8" t="e">
        <v>#N/A</v>
      </c>
      <c r="O147" s="7" t="e">
        <v>#N/A</v>
      </c>
      <c r="P147" s="66" t="s">
        <v>1775</v>
      </c>
      <c r="Q147" s="8" t="s">
        <v>74</v>
      </c>
      <c r="R147" s="8" t="s">
        <v>38</v>
      </c>
      <c r="S147" s="8" t="s">
        <v>101</v>
      </c>
      <c r="T147" s="68"/>
    </row>
    <row r="148" spans="1:20" hidden="1" x14ac:dyDescent="0.25">
      <c r="A148" s="10" t="s">
        <v>977</v>
      </c>
      <c r="B148" s="10">
        <v>361526</v>
      </c>
      <c r="C148" s="10" t="s">
        <v>978</v>
      </c>
      <c r="D148" s="10" t="s">
        <v>979</v>
      </c>
      <c r="E148" s="10" t="s">
        <v>979</v>
      </c>
      <c r="F148" s="10" t="s">
        <v>980</v>
      </c>
      <c r="G148" s="10" t="s">
        <v>981</v>
      </c>
      <c r="H148" s="10" t="s">
        <v>982</v>
      </c>
      <c r="I148" s="10" t="s">
        <v>51</v>
      </c>
      <c r="J148" s="10" t="s">
        <v>52</v>
      </c>
      <c r="K148" s="10" t="s">
        <v>53</v>
      </c>
      <c r="L148" s="10" t="s">
        <v>54</v>
      </c>
      <c r="M148" s="7" t="s">
        <v>55</v>
      </c>
      <c r="N148" s="10" t="e">
        <v>#N/A</v>
      </c>
      <c r="O148" s="7" t="e">
        <v>#N/A</v>
      </c>
      <c r="P148" s="66" t="s">
        <v>1775</v>
      </c>
      <c r="Q148" s="10" t="s">
        <v>74</v>
      </c>
      <c r="R148" s="10" t="s">
        <v>38</v>
      </c>
      <c r="S148" s="10" t="s">
        <v>101</v>
      </c>
      <c r="T148" s="68"/>
    </row>
    <row r="149" spans="1:20" x14ac:dyDescent="0.25">
      <c r="A149" s="8" t="s">
        <v>983</v>
      </c>
      <c r="B149" s="8">
        <v>713734</v>
      </c>
      <c r="C149" s="8" t="s">
        <v>984</v>
      </c>
      <c r="D149" s="8" t="s">
        <v>985</v>
      </c>
      <c r="E149" s="8" t="s">
        <v>985</v>
      </c>
      <c r="F149" s="8" t="s">
        <v>986</v>
      </c>
      <c r="G149" s="8" t="s">
        <v>987</v>
      </c>
      <c r="H149" s="8" t="s">
        <v>988</v>
      </c>
      <c r="I149" s="8" t="s">
        <v>263</v>
      </c>
      <c r="J149" s="8"/>
      <c r="K149" s="8" t="s">
        <v>264</v>
      </c>
      <c r="L149" s="8" t="s">
        <v>64</v>
      </c>
      <c r="M149" s="7" t="s">
        <v>1356</v>
      </c>
      <c r="N149" s="10" t="s">
        <v>1814</v>
      </c>
      <c r="O149" s="7" t="s">
        <v>1815</v>
      </c>
      <c r="P149" s="7" t="s">
        <v>1294</v>
      </c>
      <c r="Q149" s="8" t="s">
        <v>37</v>
      </c>
      <c r="R149" s="8" t="s">
        <v>38</v>
      </c>
      <c r="S149" s="8" t="s">
        <v>57</v>
      </c>
      <c r="T149" s="68"/>
    </row>
    <row r="150" spans="1:20" x14ac:dyDescent="0.25">
      <c r="A150" s="10" t="s">
        <v>989</v>
      </c>
      <c r="B150" s="10">
        <v>281232</v>
      </c>
      <c r="C150" s="10" t="s">
        <v>990</v>
      </c>
      <c r="D150" s="10" t="s">
        <v>991</v>
      </c>
      <c r="E150" s="10" t="s">
        <v>992</v>
      </c>
      <c r="F150" s="10" t="s">
        <v>993</v>
      </c>
      <c r="G150" s="10" t="s">
        <v>994</v>
      </c>
      <c r="H150" s="10" t="s">
        <v>995</v>
      </c>
      <c r="I150" s="10" t="s">
        <v>51</v>
      </c>
      <c r="J150" s="10"/>
      <c r="K150" s="10" t="s">
        <v>53</v>
      </c>
      <c r="L150" s="10" t="s">
        <v>64</v>
      </c>
      <c r="M150" s="7" t="s">
        <v>1807</v>
      </c>
      <c r="N150" s="10" t="s">
        <v>1812</v>
      </c>
      <c r="O150" s="7" t="s">
        <v>1813</v>
      </c>
      <c r="P150" s="7" t="s">
        <v>1294</v>
      </c>
      <c r="Q150" s="10" t="s">
        <v>56</v>
      </c>
      <c r="R150" s="10" t="s">
        <v>38</v>
      </c>
      <c r="S150" s="10" t="s">
        <v>57</v>
      </c>
      <c r="T150" s="68"/>
    </row>
    <row r="151" spans="1:20" hidden="1" x14ac:dyDescent="0.25">
      <c r="A151" s="8" t="s">
        <v>996</v>
      </c>
      <c r="B151" s="8">
        <v>956748</v>
      </c>
      <c r="C151" s="8" t="s">
        <v>997</v>
      </c>
      <c r="D151" s="8" t="s">
        <v>998</v>
      </c>
      <c r="E151" s="8" t="s">
        <v>998</v>
      </c>
      <c r="F151" s="8" t="s">
        <v>999</v>
      </c>
      <c r="G151" s="8" t="s">
        <v>1000</v>
      </c>
      <c r="H151" s="8" t="s">
        <v>1001</v>
      </c>
      <c r="I151" s="8" t="s">
        <v>96</v>
      </c>
      <c r="J151" s="8" t="s">
        <v>226</v>
      </c>
      <c r="K151" s="8" t="s">
        <v>98</v>
      </c>
      <c r="L151" s="8" t="s">
        <v>99</v>
      </c>
      <c r="M151" s="7" t="s">
        <v>227</v>
      </c>
      <c r="N151" s="8" t="e">
        <v>#N/A</v>
      </c>
      <c r="O151" s="7" t="e">
        <v>#N/A</v>
      </c>
      <c r="P151" s="66" t="s">
        <v>1775</v>
      </c>
      <c r="Q151" s="8" t="s">
        <v>74</v>
      </c>
      <c r="R151" s="8" t="s">
        <v>38</v>
      </c>
      <c r="S151" s="8" t="s">
        <v>101</v>
      </c>
      <c r="T151" s="68"/>
    </row>
    <row r="152" spans="1:20" x14ac:dyDescent="0.25">
      <c r="A152" s="10" t="s">
        <v>1002</v>
      </c>
      <c r="B152" s="10">
        <v>713747</v>
      </c>
      <c r="C152" s="10" t="s">
        <v>1003</v>
      </c>
      <c r="D152" s="10" t="s">
        <v>1004</v>
      </c>
      <c r="E152" s="10" t="s">
        <v>1004</v>
      </c>
      <c r="F152" s="10" t="s">
        <v>1005</v>
      </c>
      <c r="G152" s="10" t="s">
        <v>1006</v>
      </c>
      <c r="H152" s="10" t="s">
        <v>1007</v>
      </c>
      <c r="I152" s="10" t="s">
        <v>263</v>
      </c>
      <c r="J152" s="10"/>
      <c r="K152" s="10" t="s">
        <v>264</v>
      </c>
      <c r="L152" s="10" t="s">
        <v>36</v>
      </c>
      <c r="M152" s="7" t="s">
        <v>1356</v>
      </c>
      <c r="N152" s="10" t="s">
        <v>1814</v>
      </c>
      <c r="O152" s="7" t="s">
        <v>1815</v>
      </c>
      <c r="P152" s="7" t="s">
        <v>1294</v>
      </c>
      <c r="Q152" s="10" t="s">
        <v>37</v>
      </c>
      <c r="R152" s="10" t="s">
        <v>38</v>
      </c>
      <c r="S152" s="10" t="s">
        <v>57</v>
      </c>
      <c r="T152" s="68"/>
    </row>
    <row r="153" spans="1:20" hidden="1" x14ac:dyDescent="0.25">
      <c r="A153" s="8" t="s">
        <v>1008</v>
      </c>
      <c r="B153" s="8">
        <v>361729</v>
      </c>
      <c r="C153" s="8" t="s">
        <v>1009</v>
      </c>
      <c r="D153" s="8" t="s">
        <v>1010</v>
      </c>
      <c r="E153" s="8" t="s">
        <v>1010</v>
      </c>
      <c r="F153" s="8" t="s">
        <v>1011</v>
      </c>
      <c r="G153" s="8" t="s">
        <v>1012</v>
      </c>
      <c r="H153" s="8" t="s">
        <v>1013</v>
      </c>
      <c r="I153" s="8" t="s">
        <v>51</v>
      </c>
      <c r="J153" s="8" t="s">
        <v>52</v>
      </c>
      <c r="K153" s="8" t="s">
        <v>53</v>
      </c>
      <c r="L153" s="8" t="s">
        <v>54</v>
      </c>
      <c r="M153" s="7" t="s">
        <v>55</v>
      </c>
      <c r="N153" s="8" t="e">
        <v>#N/A</v>
      </c>
      <c r="O153" s="7" t="e">
        <v>#N/A</v>
      </c>
      <c r="P153" s="66" t="s">
        <v>1775</v>
      </c>
      <c r="Q153" s="8" t="s">
        <v>56</v>
      </c>
      <c r="R153" s="8" t="s">
        <v>38</v>
      </c>
      <c r="S153" s="8" t="s">
        <v>101</v>
      </c>
      <c r="T153" s="68"/>
    </row>
    <row r="154" spans="1:20" hidden="1" x14ac:dyDescent="0.25">
      <c r="A154" s="10" t="s">
        <v>1014</v>
      </c>
      <c r="B154" s="10">
        <v>830988</v>
      </c>
      <c r="C154" s="10" t="s">
        <v>1015</v>
      </c>
      <c r="D154" s="10" t="s">
        <v>1016</v>
      </c>
      <c r="E154" s="10" t="s">
        <v>1016</v>
      </c>
      <c r="F154" s="10" t="s">
        <v>1017</v>
      </c>
      <c r="G154" s="10" t="s">
        <v>1018</v>
      </c>
      <c r="H154" s="10" t="s">
        <v>1019</v>
      </c>
      <c r="I154" s="10" t="s">
        <v>96</v>
      </c>
      <c r="J154" s="10" t="s">
        <v>123</v>
      </c>
      <c r="K154" s="10" t="s">
        <v>98</v>
      </c>
      <c r="L154" s="10" t="s">
        <v>99</v>
      </c>
      <c r="M154" s="7" t="s">
        <v>100</v>
      </c>
      <c r="N154" s="10" t="e">
        <v>#N/A</v>
      </c>
      <c r="O154" s="7" t="e">
        <v>#N/A</v>
      </c>
      <c r="P154" s="66" t="s">
        <v>1775</v>
      </c>
      <c r="Q154" s="10" t="s">
        <v>74</v>
      </c>
      <c r="R154" s="10" t="s">
        <v>38</v>
      </c>
      <c r="S154" s="10" t="s">
        <v>101</v>
      </c>
      <c r="T154" s="68"/>
    </row>
    <row r="155" spans="1:20" x14ac:dyDescent="0.25">
      <c r="A155" s="8" t="s">
        <v>1020</v>
      </c>
      <c r="B155" s="8">
        <v>409971</v>
      </c>
      <c r="C155" s="8" t="s">
        <v>1021</v>
      </c>
      <c r="D155" s="8" t="s">
        <v>1022</v>
      </c>
      <c r="E155" s="8" t="s">
        <v>1022</v>
      </c>
      <c r="F155" s="8" t="s">
        <v>1023</v>
      </c>
      <c r="G155" s="8" t="s">
        <v>1024</v>
      </c>
      <c r="H155" s="8" t="s">
        <v>1025</v>
      </c>
      <c r="I155" s="8" t="s">
        <v>34</v>
      </c>
      <c r="J155" s="8"/>
      <c r="K155" s="8" t="s">
        <v>35</v>
      </c>
      <c r="L155" s="8" t="s">
        <v>64</v>
      </c>
      <c r="M155" s="7" t="s">
        <v>1806</v>
      </c>
      <c r="N155" s="8" t="s">
        <v>1810</v>
      </c>
      <c r="O155" s="7" t="s">
        <v>1811</v>
      </c>
      <c r="P155" s="7" t="s">
        <v>1294</v>
      </c>
      <c r="Q155" s="8" t="s">
        <v>74</v>
      </c>
      <c r="R155" s="8" t="s">
        <v>38</v>
      </c>
      <c r="S155" s="8" t="s">
        <v>39</v>
      </c>
      <c r="T155" s="68"/>
    </row>
    <row r="156" spans="1:20" hidden="1" x14ac:dyDescent="0.25">
      <c r="A156" s="10" t="s">
        <v>1026</v>
      </c>
      <c r="B156" s="10">
        <v>956399</v>
      </c>
      <c r="C156" s="10" t="s">
        <v>1027</v>
      </c>
      <c r="D156" s="10" t="s">
        <v>1028</v>
      </c>
      <c r="E156" s="10" t="s">
        <v>1028</v>
      </c>
      <c r="F156" s="10" t="s">
        <v>1029</v>
      </c>
      <c r="G156" s="10" t="s">
        <v>1030</v>
      </c>
      <c r="H156" s="10" t="s">
        <v>1031</v>
      </c>
      <c r="I156" s="10" t="s">
        <v>96</v>
      </c>
      <c r="J156" s="10" t="s">
        <v>226</v>
      </c>
      <c r="K156" s="10" t="s">
        <v>98</v>
      </c>
      <c r="L156" s="10" t="s">
        <v>54</v>
      </c>
      <c r="M156" s="7" t="s">
        <v>227</v>
      </c>
      <c r="N156" s="10" t="e">
        <v>#N/A</v>
      </c>
      <c r="O156" s="7" t="e">
        <v>#N/A</v>
      </c>
      <c r="P156" s="66" t="s">
        <v>1775</v>
      </c>
      <c r="Q156" s="10" t="s">
        <v>56</v>
      </c>
      <c r="R156" s="10" t="s">
        <v>38</v>
      </c>
      <c r="S156" s="10" t="s">
        <v>101</v>
      </c>
      <c r="T156" s="68"/>
    </row>
    <row r="157" spans="1:20" hidden="1" x14ac:dyDescent="0.25">
      <c r="A157" s="8" t="s">
        <v>1032</v>
      </c>
      <c r="B157" s="8">
        <v>361279</v>
      </c>
      <c r="C157" s="8" t="s">
        <v>1033</v>
      </c>
      <c r="D157" s="8" t="s">
        <v>1034</v>
      </c>
      <c r="E157" s="8" t="s">
        <v>1034</v>
      </c>
      <c r="F157" s="8" t="s">
        <v>1035</v>
      </c>
      <c r="G157" s="8" t="s">
        <v>1036</v>
      </c>
      <c r="H157" s="8" t="s">
        <v>1037</v>
      </c>
      <c r="I157" s="8" t="s">
        <v>51</v>
      </c>
      <c r="J157" s="8" t="s">
        <v>52</v>
      </c>
      <c r="K157" s="8" t="s">
        <v>53</v>
      </c>
      <c r="L157" s="8" t="s">
        <v>54</v>
      </c>
      <c r="M157" s="7" t="s">
        <v>55</v>
      </c>
      <c r="N157" s="8" t="e">
        <v>#N/A</v>
      </c>
      <c r="O157" s="7" t="e">
        <v>#N/A</v>
      </c>
      <c r="P157" s="66" t="s">
        <v>1775</v>
      </c>
      <c r="Q157" s="8" t="s">
        <v>74</v>
      </c>
      <c r="R157" s="8" t="s">
        <v>38</v>
      </c>
      <c r="S157" s="8" t="s">
        <v>101</v>
      </c>
      <c r="T157" s="68"/>
    </row>
    <row r="158" spans="1:20" x14ac:dyDescent="0.25">
      <c r="A158" s="10" t="s">
        <v>1038</v>
      </c>
      <c r="B158" s="10">
        <v>281469</v>
      </c>
      <c r="C158" s="10" t="s">
        <v>1039</v>
      </c>
      <c r="D158" s="10" t="s">
        <v>1040</v>
      </c>
      <c r="E158" s="10" t="s">
        <v>1040</v>
      </c>
      <c r="F158" s="10" t="s">
        <v>1041</v>
      </c>
      <c r="G158" s="10" t="s">
        <v>1042</v>
      </c>
      <c r="H158" s="10" t="s">
        <v>1043</v>
      </c>
      <c r="I158" s="10" t="s">
        <v>108</v>
      </c>
      <c r="J158" s="10"/>
      <c r="K158" s="10" t="s">
        <v>109</v>
      </c>
      <c r="L158" s="10" t="s">
        <v>64</v>
      </c>
      <c r="M158" s="7" t="s">
        <v>1804</v>
      </c>
      <c r="N158" s="10" t="s">
        <v>1816</v>
      </c>
      <c r="O158" s="7" t="s">
        <v>1817</v>
      </c>
      <c r="P158" s="7" t="s">
        <v>1294</v>
      </c>
      <c r="Q158" s="10" t="s">
        <v>37</v>
      </c>
      <c r="R158" s="10" t="s">
        <v>38</v>
      </c>
      <c r="S158" s="10" t="s">
        <v>116</v>
      </c>
      <c r="T158" s="68"/>
    </row>
    <row r="159" spans="1:20" x14ac:dyDescent="0.25">
      <c r="A159" s="8" t="s">
        <v>1044</v>
      </c>
      <c r="B159" s="8">
        <v>281474</v>
      </c>
      <c r="C159" s="8" t="s">
        <v>1045</v>
      </c>
      <c r="D159" s="8" t="s">
        <v>1046</v>
      </c>
      <c r="E159" s="8" t="s">
        <v>1046</v>
      </c>
      <c r="F159" s="8" t="s">
        <v>1047</v>
      </c>
      <c r="G159" s="8" t="s">
        <v>1048</v>
      </c>
      <c r="H159" s="8" t="s">
        <v>72</v>
      </c>
      <c r="I159" s="8" t="s">
        <v>71</v>
      </c>
      <c r="J159" s="8"/>
      <c r="K159" s="8" t="s">
        <v>72</v>
      </c>
      <c r="L159" s="8" t="s">
        <v>82</v>
      </c>
      <c r="M159" s="7" t="s">
        <v>1808</v>
      </c>
      <c r="N159" s="8" t="s">
        <v>1814</v>
      </c>
      <c r="O159" s="7" t="s">
        <v>1815</v>
      </c>
      <c r="P159" s="7" t="s">
        <v>1294</v>
      </c>
      <c r="Q159" s="8" t="s">
        <v>56</v>
      </c>
      <c r="R159" s="8" t="s">
        <v>38</v>
      </c>
      <c r="S159" s="8" t="s">
        <v>89</v>
      </c>
      <c r="T159" s="68"/>
    </row>
    <row r="160" spans="1:20" x14ac:dyDescent="0.25">
      <c r="A160" s="10" t="s">
        <v>1049</v>
      </c>
      <c r="B160" s="10">
        <v>979885</v>
      </c>
      <c r="C160" s="10" t="s">
        <v>1050</v>
      </c>
      <c r="D160" s="10" t="s">
        <v>1051</v>
      </c>
      <c r="E160" s="10" t="s">
        <v>1051</v>
      </c>
      <c r="F160" s="10" t="s">
        <v>1052</v>
      </c>
      <c r="G160" s="10" t="s">
        <v>1053</v>
      </c>
      <c r="H160" s="10" t="s">
        <v>1054</v>
      </c>
      <c r="I160" s="10" t="s">
        <v>51</v>
      </c>
      <c r="J160" s="10"/>
      <c r="K160" s="10" t="s">
        <v>53</v>
      </c>
      <c r="L160" s="10" t="s">
        <v>64</v>
      </c>
      <c r="M160" s="7" t="s">
        <v>1807</v>
      </c>
      <c r="N160" s="10" t="s">
        <v>1812</v>
      </c>
      <c r="O160" s="7" t="s">
        <v>1813</v>
      </c>
      <c r="P160" s="7" t="s">
        <v>1294</v>
      </c>
      <c r="Q160" s="10" t="s">
        <v>56</v>
      </c>
      <c r="R160" s="10" t="s">
        <v>38</v>
      </c>
      <c r="S160" s="10" t="s">
        <v>57</v>
      </c>
      <c r="T160" s="68"/>
    </row>
    <row r="161" spans="1:20" x14ac:dyDescent="0.25">
      <c r="A161" s="8" t="s">
        <v>1055</v>
      </c>
      <c r="B161" s="8">
        <v>281456</v>
      </c>
      <c r="C161" s="8" t="s">
        <v>1056</v>
      </c>
      <c r="D161" s="8" t="s">
        <v>1057</v>
      </c>
      <c r="E161" s="8" t="s">
        <v>1057</v>
      </c>
      <c r="F161" s="8" t="s">
        <v>1058</v>
      </c>
      <c r="G161" s="8" t="s">
        <v>1059</v>
      </c>
      <c r="H161" s="8" t="s">
        <v>1060</v>
      </c>
      <c r="I161" s="8" t="s">
        <v>34</v>
      </c>
      <c r="J161" s="8"/>
      <c r="K161" s="8" t="s">
        <v>35</v>
      </c>
      <c r="L161" s="8" t="s">
        <v>36</v>
      </c>
      <c r="M161" s="7" t="s">
        <v>1806</v>
      </c>
      <c r="N161" s="8" t="s">
        <v>1810</v>
      </c>
      <c r="O161" s="7" t="s">
        <v>1811</v>
      </c>
      <c r="P161" s="7" t="s">
        <v>1294</v>
      </c>
      <c r="Q161" s="8" t="s">
        <v>56</v>
      </c>
      <c r="R161" s="8" t="s">
        <v>38</v>
      </c>
      <c r="S161" s="8" t="s">
        <v>39</v>
      </c>
      <c r="T161" s="68"/>
    </row>
    <row r="162" spans="1:20" hidden="1" x14ac:dyDescent="0.25">
      <c r="A162" s="10" t="s">
        <v>1061</v>
      </c>
      <c r="B162" s="10">
        <v>361594</v>
      </c>
      <c r="C162" s="10" t="s">
        <v>1062</v>
      </c>
      <c r="D162" s="10" t="s">
        <v>1063</v>
      </c>
      <c r="E162" s="10" t="s">
        <v>1063</v>
      </c>
      <c r="F162" s="10" t="s">
        <v>1064</v>
      </c>
      <c r="G162" s="10" t="s">
        <v>1065</v>
      </c>
      <c r="H162" s="10" t="s">
        <v>1066</v>
      </c>
      <c r="I162" s="10" t="s">
        <v>71</v>
      </c>
      <c r="J162" s="10"/>
      <c r="K162" s="10" t="s">
        <v>72</v>
      </c>
      <c r="L162" s="10" t="s">
        <v>54</v>
      </c>
      <c r="M162" s="7" t="s">
        <v>346</v>
      </c>
      <c r="N162" s="10" t="e">
        <v>#N/A</v>
      </c>
      <c r="O162" s="7" t="e">
        <v>#N/A</v>
      </c>
      <c r="P162" s="66" t="s">
        <v>1775</v>
      </c>
      <c r="Q162" s="10" t="s">
        <v>74</v>
      </c>
      <c r="R162" s="10" t="s">
        <v>38</v>
      </c>
      <c r="S162" s="10" t="s">
        <v>101</v>
      </c>
      <c r="T162" s="68"/>
    </row>
    <row r="163" spans="1:20" x14ac:dyDescent="0.25">
      <c r="A163" s="8" t="s">
        <v>1067</v>
      </c>
      <c r="B163" s="8">
        <v>409385</v>
      </c>
      <c r="C163" s="8" t="s">
        <v>1068</v>
      </c>
      <c r="D163" s="8" t="s">
        <v>1069</v>
      </c>
      <c r="E163" s="8" t="s">
        <v>1069</v>
      </c>
      <c r="F163" s="8" t="s">
        <v>1070</v>
      </c>
      <c r="G163" s="8" t="s">
        <v>1071</v>
      </c>
      <c r="H163" s="8" t="s">
        <v>1072</v>
      </c>
      <c r="I163" s="8" t="s">
        <v>34</v>
      </c>
      <c r="J163" s="8"/>
      <c r="K163" s="8" t="s">
        <v>35</v>
      </c>
      <c r="L163" s="8" t="s">
        <v>36</v>
      </c>
      <c r="M163" s="7" t="s">
        <v>1806</v>
      </c>
      <c r="N163" s="8" t="s">
        <v>1810</v>
      </c>
      <c r="O163" s="7" t="s">
        <v>1811</v>
      </c>
      <c r="P163" s="7" t="s">
        <v>1294</v>
      </c>
      <c r="Q163" s="8" t="s">
        <v>56</v>
      </c>
      <c r="R163" s="8" t="s">
        <v>38</v>
      </c>
      <c r="S163" s="8" t="s">
        <v>39</v>
      </c>
      <c r="T163" s="68"/>
    </row>
    <row r="164" spans="1:20" hidden="1" x14ac:dyDescent="0.25">
      <c r="A164" s="10" t="s">
        <v>1073</v>
      </c>
      <c r="B164" s="10">
        <v>361364</v>
      </c>
      <c r="C164" s="10" t="s">
        <v>1074</v>
      </c>
      <c r="D164" s="10" t="s">
        <v>1075</v>
      </c>
      <c r="E164" s="10" t="s">
        <v>1075</v>
      </c>
      <c r="F164" s="10" t="s">
        <v>1076</v>
      </c>
      <c r="G164" s="10" t="s">
        <v>1077</v>
      </c>
      <c r="H164" s="10" t="s">
        <v>1072</v>
      </c>
      <c r="I164" s="10" t="s">
        <v>51</v>
      </c>
      <c r="J164" s="10" t="s">
        <v>52</v>
      </c>
      <c r="K164" s="10" t="s">
        <v>53</v>
      </c>
      <c r="L164" s="10" t="s">
        <v>54</v>
      </c>
      <c r="M164" s="7" t="s">
        <v>55</v>
      </c>
      <c r="N164" s="10" t="e">
        <v>#N/A</v>
      </c>
      <c r="O164" s="7" t="e">
        <v>#N/A</v>
      </c>
      <c r="P164" s="66" t="s">
        <v>1775</v>
      </c>
      <c r="Q164" s="10" t="s">
        <v>74</v>
      </c>
      <c r="R164" s="10" t="s">
        <v>38</v>
      </c>
      <c r="S164" s="10" t="s">
        <v>101</v>
      </c>
      <c r="T164" s="68"/>
    </row>
    <row r="165" spans="1:20" hidden="1" x14ac:dyDescent="0.25">
      <c r="A165" s="8" t="s">
        <v>1078</v>
      </c>
      <c r="B165" s="8">
        <v>361287</v>
      </c>
      <c r="C165" s="8" t="s">
        <v>1079</v>
      </c>
      <c r="D165" s="8" t="s">
        <v>1080</v>
      </c>
      <c r="E165" s="8" t="s">
        <v>1080</v>
      </c>
      <c r="F165" s="8" t="s">
        <v>1081</v>
      </c>
      <c r="G165" s="8" t="s">
        <v>1082</v>
      </c>
      <c r="H165" s="8" t="s">
        <v>1083</v>
      </c>
      <c r="I165" s="8" t="s">
        <v>51</v>
      </c>
      <c r="J165" s="8" t="s">
        <v>52</v>
      </c>
      <c r="K165" s="8" t="s">
        <v>53</v>
      </c>
      <c r="L165" s="8" t="s">
        <v>54</v>
      </c>
      <c r="M165" s="7" t="s">
        <v>55</v>
      </c>
      <c r="N165" s="8" t="e">
        <v>#N/A</v>
      </c>
      <c r="O165" s="7" t="e">
        <v>#N/A</v>
      </c>
      <c r="P165" s="66" t="e">
        <v>#N/A</v>
      </c>
      <c r="Q165" s="8" t="s">
        <v>74</v>
      </c>
      <c r="R165" s="8" t="s">
        <v>38</v>
      </c>
      <c r="S165" s="8" t="s">
        <v>101</v>
      </c>
      <c r="T165" s="68"/>
    </row>
    <row r="166" spans="1:20" x14ac:dyDescent="0.25">
      <c r="A166" s="10" t="s">
        <v>1084</v>
      </c>
      <c r="B166" s="10">
        <v>281545</v>
      </c>
      <c r="C166" s="10" t="s">
        <v>1085</v>
      </c>
      <c r="D166" s="10" t="s">
        <v>1086</v>
      </c>
      <c r="E166" s="10" t="s">
        <v>1087</v>
      </c>
      <c r="F166" s="10" t="s">
        <v>1088</v>
      </c>
      <c r="G166" s="10" t="s">
        <v>1089</v>
      </c>
      <c r="H166" s="10" t="s">
        <v>1019</v>
      </c>
      <c r="I166" s="10" t="s">
        <v>51</v>
      </c>
      <c r="J166" s="10"/>
      <c r="K166" s="10" t="s">
        <v>53</v>
      </c>
      <c r="L166" s="10" t="s">
        <v>73</v>
      </c>
      <c r="M166" s="7" t="s">
        <v>1807</v>
      </c>
      <c r="N166" s="10" t="s">
        <v>1812</v>
      </c>
      <c r="O166" s="7" t="s">
        <v>1813</v>
      </c>
      <c r="P166" s="7" t="s">
        <v>1294</v>
      </c>
      <c r="Q166" s="10" t="s">
        <v>56</v>
      </c>
      <c r="R166" s="10" t="s">
        <v>38</v>
      </c>
      <c r="S166" s="10" t="s">
        <v>57</v>
      </c>
      <c r="T166" s="68"/>
    </row>
    <row r="167" spans="1:20" x14ac:dyDescent="0.25">
      <c r="A167" s="8" t="s">
        <v>1090</v>
      </c>
      <c r="B167" s="8">
        <v>409287</v>
      </c>
      <c r="C167" s="8" t="s">
        <v>1091</v>
      </c>
      <c r="D167" s="8" t="s">
        <v>1092</v>
      </c>
      <c r="E167" s="8" t="s">
        <v>1093</v>
      </c>
      <c r="F167" s="8" t="s">
        <v>1094</v>
      </c>
      <c r="G167" s="8" t="s">
        <v>1095</v>
      </c>
      <c r="H167" s="8" t="s">
        <v>1066</v>
      </c>
      <c r="I167" s="8" t="s">
        <v>34</v>
      </c>
      <c r="J167" s="8"/>
      <c r="K167" s="8" t="s">
        <v>35</v>
      </c>
      <c r="L167" s="8" t="s">
        <v>73</v>
      </c>
      <c r="M167" s="7" t="s">
        <v>1806</v>
      </c>
      <c r="N167" s="8" t="s">
        <v>1810</v>
      </c>
      <c r="O167" s="7" t="s">
        <v>1811</v>
      </c>
      <c r="P167" s="7" t="s">
        <v>1294</v>
      </c>
      <c r="Q167" s="8" t="s">
        <v>74</v>
      </c>
      <c r="R167" s="8" t="s">
        <v>38</v>
      </c>
      <c r="S167" s="8" t="s">
        <v>39</v>
      </c>
      <c r="T167" s="68"/>
    </row>
    <row r="168" spans="1:20" hidden="1" x14ac:dyDescent="0.25">
      <c r="A168" s="10" t="s">
        <v>1096</v>
      </c>
      <c r="B168" s="10">
        <v>956761</v>
      </c>
      <c r="C168" s="10" t="s">
        <v>1097</v>
      </c>
      <c r="D168" s="10" t="s">
        <v>1098</v>
      </c>
      <c r="E168" s="10" t="s">
        <v>1098</v>
      </c>
      <c r="F168" s="10" t="s">
        <v>1099</v>
      </c>
      <c r="G168" s="10" t="s">
        <v>1100</v>
      </c>
      <c r="H168" s="10" t="s">
        <v>1025</v>
      </c>
      <c r="I168" s="10" t="s">
        <v>96</v>
      </c>
      <c r="J168" s="10" t="s">
        <v>226</v>
      </c>
      <c r="K168" s="10" t="s">
        <v>98</v>
      </c>
      <c r="L168" s="10" t="s">
        <v>99</v>
      </c>
      <c r="M168" s="7" t="s">
        <v>227</v>
      </c>
      <c r="N168" s="10" t="e">
        <v>#N/A</v>
      </c>
      <c r="O168" s="7" t="e">
        <v>#N/A</v>
      </c>
      <c r="P168" s="66" t="s">
        <v>1775</v>
      </c>
      <c r="Q168" s="10" t="s">
        <v>150</v>
      </c>
      <c r="R168" s="10" t="s">
        <v>38</v>
      </c>
      <c r="S168" s="10" t="s">
        <v>101</v>
      </c>
      <c r="T168" s="68"/>
    </row>
    <row r="169" spans="1:20" x14ac:dyDescent="0.25">
      <c r="A169" s="8" t="s">
        <v>1101</v>
      </c>
      <c r="B169" s="8">
        <v>281689</v>
      </c>
      <c r="C169" s="8" t="s">
        <v>1102</v>
      </c>
      <c r="D169" s="8" t="s">
        <v>1103</v>
      </c>
      <c r="E169" s="8" t="s">
        <v>1103</v>
      </c>
      <c r="F169" s="8" t="s">
        <v>1104</v>
      </c>
      <c r="G169" s="8" t="s">
        <v>1105</v>
      </c>
      <c r="H169" s="8" t="s">
        <v>1037</v>
      </c>
      <c r="I169" s="8" t="s">
        <v>34</v>
      </c>
      <c r="J169" s="8"/>
      <c r="K169" s="8" t="s">
        <v>35</v>
      </c>
      <c r="L169" s="8" t="s">
        <v>73</v>
      </c>
      <c r="M169" s="7" t="s">
        <v>1806</v>
      </c>
      <c r="N169" s="8" t="s">
        <v>1810</v>
      </c>
      <c r="O169" s="7" t="s">
        <v>1811</v>
      </c>
      <c r="P169" s="7" t="s">
        <v>1294</v>
      </c>
      <c r="Q169" s="8" t="s">
        <v>56</v>
      </c>
      <c r="R169" s="8" t="s">
        <v>38</v>
      </c>
      <c r="S169" s="8" t="s">
        <v>39</v>
      </c>
      <c r="T169" s="68"/>
    </row>
    <row r="170" spans="1:20" x14ac:dyDescent="0.25">
      <c r="A170" s="10" t="s">
        <v>1106</v>
      </c>
      <c r="B170" s="10">
        <v>281367</v>
      </c>
      <c r="C170" s="10" t="s">
        <v>1107</v>
      </c>
      <c r="D170" s="10" t="s">
        <v>1108</v>
      </c>
      <c r="E170" s="10" t="s">
        <v>1108</v>
      </c>
      <c r="F170" s="10" t="s">
        <v>1109</v>
      </c>
      <c r="G170" s="10" t="s">
        <v>1110</v>
      </c>
      <c r="H170" s="10" t="s">
        <v>1111</v>
      </c>
      <c r="I170" s="10" t="s">
        <v>108</v>
      </c>
      <c r="J170" s="10"/>
      <c r="K170" s="10" t="s">
        <v>109</v>
      </c>
      <c r="L170" s="10" t="s">
        <v>73</v>
      </c>
      <c r="M170" s="7" t="s">
        <v>1804</v>
      </c>
      <c r="N170" s="10" t="s">
        <v>1816</v>
      </c>
      <c r="O170" s="7" t="s">
        <v>1817</v>
      </c>
      <c r="P170" s="7" t="s">
        <v>1294</v>
      </c>
      <c r="Q170" s="10" t="s">
        <v>150</v>
      </c>
      <c r="R170" s="10" t="s">
        <v>38</v>
      </c>
      <c r="S170" s="10" t="s">
        <v>116</v>
      </c>
      <c r="T170" s="68"/>
    </row>
    <row r="171" spans="1:20" x14ac:dyDescent="0.25">
      <c r="A171" s="8" t="s">
        <v>1112</v>
      </c>
      <c r="B171" s="8">
        <v>281353</v>
      </c>
      <c r="C171" s="8" t="s">
        <v>1113</v>
      </c>
      <c r="D171" s="8" t="s">
        <v>1114</v>
      </c>
      <c r="E171" s="8" t="s">
        <v>1114</v>
      </c>
      <c r="F171" s="8" t="s">
        <v>1115</v>
      </c>
      <c r="G171" s="8" t="s">
        <v>1116</v>
      </c>
      <c r="H171" s="8" t="s">
        <v>1117</v>
      </c>
      <c r="I171" s="8" t="s">
        <v>108</v>
      </c>
      <c r="J171" s="8"/>
      <c r="K171" s="8" t="s">
        <v>109</v>
      </c>
      <c r="L171" s="8" t="s">
        <v>64</v>
      </c>
      <c r="M171" s="7" t="s">
        <v>1804</v>
      </c>
      <c r="N171" s="8" t="s">
        <v>1816</v>
      </c>
      <c r="O171" s="7" t="s">
        <v>1817</v>
      </c>
      <c r="P171" s="7" t="s">
        <v>1294</v>
      </c>
      <c r="Q171" s="8" t="s">
        <v>150</v>
      </c>
      <c r="R171" s="8" t="s">
        <v>38</v>
      </c>
      <c r="S171" s="8" t="s">
        <v>39</v>
      </c>
      <c r="T171" s="68"/>
    </row>
    <row r="172" spans="1:20" x14ac:dyDescent="0.25">
      <c r="A172" s="10" t="s">
        <v>1118</v>
      </c>
      <c r="B172" s="10">
        <v>409429</v>
      </c>
      <c r="C172" s="10" t="s">
        <v>1119</v>
      </c>
      <c r="D172" s="10" t="s">
        <v>1120</v>
      </c>
      <c r="E172" s="10" t="s">
        <v>1120</v>
      </c>
      <c r="F172" s="10" t="s">
        <v>1121</v>
      </c>
      <c r="G172" s="10" t="s">
        <v>1122</v>
      </c>
      <c r="H172" s="10" t="s">
        <v>1123</v>
      </c>
      <c r="I172" s="10" t="s">
        <v>34</v>
      </c>
      <c r="J172" s="10"/>
      <c r="K172" s="10" t="s">
        <v>35</v>
      </c>
      <c r="L172" s="10" t="s">
        <v>73</v>
      </c>
      <c r="M172" s="7" t="s">
        <v>1806</v>
      </c>
      <c r="N172" s="10" t="s">
        <v>1810</v>
      </c>
      <c r="O172" s="7" t="s">
        <v>1811</v>
      </c>
      <c r="P172" s="7" t="s">
        <v>1294</v>
      </c>
      <c r="Q172" s="10" t="s">
        <v>74</v>
      </c>
      <c r="R172" s="10" t="s">
        <v>38</v>
      </c>
      <c r="S172" s="10" t="s">
        <v>39</v>
      </c>
      <c r="T172" s="68"/>
    </row>
    <row r="173" spans="1:20" hidden="1" x14ac:dyDescent="0.25">
      <c r="A173" s="8" t="s">
        <v>1124</v>
      </c>
      <c r="B173" s="8">
        <v>956485</v>
      </c>
      <c r="C173" s="8" t="s">
        <v>1125</v>
      </c>
      <c r="D173" s="8" t="s">
        <v>1126</v>
      </c>
      <c r="E173" s="8" t="s">
        <v>1126</v>
      </c>
      <c r="F173" s="8" t="s">
        <v>1127</v>
      </c>
      <c r="G173" s="8" t="s">
        <v>1128</v>
      </c>
      <c r="H173" s="8" t="s">
        <v>1129</v>
      </c>
      <c r="I173" s="8" t="s">
        <v>96</v>
      </c>
      <c r="J173" s="8" t="s">
        <v>389</v>
      </c>
      <c r="K173" s="8" t="s">
        <v>98</v>
      </c>
      <c r="L173" s="8" t="s">
        <v>99</v>
      </c>
      <c r="M173" s="7" t="s">
        <v>390</v>
      </c>
      <c r="N173" s="8" t="e">
        <v>#N/A</v>
      </c>
      <c r="O173" s="7" t="e">
        <v>#N/A</v>
      </c>
      <c r="P173" s="66" t="s">
        <v>1775</v>
      </c>
      <c r="Q173" s="8" t="s">
        <v>74</v>
      </c>
      <c r="R173" s="8" t="s">
        <v>38</v>
      </c>
      <c r="S173" s="8" t="s">
        <v>101</v>
      </c>
      <c r="T173" s="68"/>
    </row>
    <row r="174" spans="1:20" x14ac:dyDescent="0.25">
      <c r="A174" s="10" t="s">
        <v>1130</v>
      </c>
      <c r="B174" s="10">
        <v>713781</v>
      </c>
      <c r="C174" s="10" t="s">
        <v>1131</v>
      </c>
      <c r="D174" s="10" t="s">
        <v>1132</v>
      </c>
      <c r="E174" s="10" t="s">
        <v>1132</v>
      </c>
      <c r="F174" s="10" t="s">
        <v>1133</v>
      </c>
      <c r="G174" s="10" t="s">
        <v>1134</v>
      </c>
      <c r="H174" s="10" t="s">
        <v>1129</v>
      </c>
      <c r="I174" s="10" t="s">
        <v>51</v>
      </c>
      <c r="J174" s="10"/>
      <c r="K174" s="10" t="s">
        <v>53</v>
      </c>
      <c r="L174" s="10" t="s">
        <v>82</v>
      </c>
      <c r="M174" s="7" t="s">
        <v>1807</v>
      </c>
      <c r="N174" s="10" t="s">
        <v>1812</v>
      </c>
      <c r="O174" s="7" t="s">
        <v>1813</v>
      </c>
      <c r="P174" s="7" t="s">
        <v>1294</v>
      </c>
      <c r="Q174" s="10" t="s">
        <v>37</v>
      </c>
      <c r="R174" s="10" t="s">
        <v>38</v>
      </c>
      <c r="S174" s="10" t="s">
        <v>57</v>
      </c>
      <c r="T174" s="68"/>
    </row>
    <row r="175" spans="1:20" x14ac:dyDescent="0.25">
      <c r="A175" s="8" t="s">
        <v>1135</v>
      </c>
      <c r="B175" s="8">
        <v>409945</v>
      </c>
      <c r="C175" s="8" t="s">
        <v>1136</v>
      </c>
      <c r="D175" s="8" t="s">
        <v>1137</v>
      </c>
      <c r="E175" s="8" t="s">
        <v>1137</v>
      </c>
      <c r="F175" s="8" t="s">
        <v>1138</v>
      </c>
      <c r="G175" s="8" t="s">
        <v>1139</v>
      </c>
      <c r="H175" s="8" t="s">
        <v>1140</v>
      </c>
      <c r="I175" s="8" t="s">
        <v>71</v>
      </c>
      <c r="J175" s="8"/>
      <c r="K175" s="8" t="s">
        <v>72</v>
      </c>
      <c r="L175" s="8" t="s">
        <v>64</v>
      </c>
      <c r="M175" s="7" t="s">
        <v>1808</v>
      </c>
      <c r="N175" s="8" t="s">
        <v>1814</v>
      </c>
      <c r="O175" s="7" t="s">
        <v>1815</v>
      </c>
      <c r="P175" s="7" t="s">
        <v>1294</v>
      </c>
      <c r="Q175" s="8" t="s">
        <v>150</v>
      </c>
      <c r="R175" s="8" t="s">
        <v>38</v>
      </c>
      <c r="S175" s="8" t="s">
        <v>89</v>
      </c>
      <c r="T175" s="68"/>
    </row>
    <row r="176" spans="1:20" x14ac:dyDescent="0.25">
      <c r="A176" s="10" t="s">
        <v>1141</v>
      </c>
      <c r="B176" s="10">
        <v>281351</v>
      </c>
      <c r="C176" s="10" t="s">
        <v>1142</v>
      </c>
      <c r="D176" s="10" t="s">
        <v>1143</v>
      </c>
      <c r="E176" s="10" t="s">
        <v>1143</v>
      </c>
      <c r="F176" s="10" t="s">
        <v>1144</v>
      </c>
      <c r="G176" s="10" t="s">
        <v>1145</v>
      </c>
      <c r="H176" s="10" t="s">
        <v>1146</v>
      </c>
      <c r="I176" s="10" t="s">
        <v>108</v>
      </c>
      <c r="J176" s="10"/>
      <c r="K176" s="10" t="s">
        <v>109</v>
      </c>
      <c r="L176" s="10" t="s">
        <v>64</v>
      </c>
      <c r="M176" s="7" t="s">
        <v>1804</v>
      </c>
      <c r="N176" s="10" t="s">
        <v>1816</v>
      </c>
      <c r="O176" s="7" t="s">
        <v>1817</v>
      </c>
      <c r="P176" s="7" t="s">
        <v>1294</v>
      </c>
      <c r="Q176" s="10" t="s">
        <v>56</v>
      </c>
      <c r="R176" s="10" t="s">
        <v>38</v>
      </c>
      <c r="S176" s="10" t="s">
        <v>116</v>
      </c>
      <c r="T176" s="68"/>
    </row>
    <row r="177" spans="1:20" hidden="1" x14ac:dyDescent="0.25">
      <c r="A177" s="8" t="s">
        <v>1147</v>
      </c>
      <c r="B177" s="8">
        <v>361882</v>
      </c>
      <c r="C177" s="8" t="s">
        <v>1148</v>
      </c>
      <c r="D177" s="8" t="s">
        <v>1359</v>
      </c>
      <c r="E177" s="8" t="s">
        <v>1149</v>
      </c>
      <c r="F177" s="8" t="s">
        <v>1150</v>
      </c>
      <c r="G177" s="8" t="s">
        <v>1151</v>
      </c>
      <c r="H177" s="8" t="s">
        <v>1152</v>
      </c>
      <c r="I177" s="8" t="s">
        <v>51</v>
      </c>
      <c r="J177" s="8" t="s">
        <v>52</v>
      </c>
      <c r="K177" s="8" t="s">
        <v>53</v>
      </c>
      <c r="L177" s="8" t="s">
        <v>54</v>
      </c>
      <c r="M177" s="7" t="s">
        <v>55</v>
      </c>
      <c r="N177" s="8" t="e">
        <v>#N/A</v>
      </c>
      <c r="O177" s="7" t="e">
        <v>#N/A</v>
      </c>
      <c r="P177" s="66" t="s">
        <v>1775</v>
      </c>
      <c r="Q177" s="8" t="s">
        <v>37</v>
      </c>
      <c r="R177" s="8" t="s">
        <v>38</v>
      </c>
      <c r="S177" s="8" t="s">
        <v>101</v>
      </c>
      <c r="T177" s="68"/>
    </row>
    <row r="178" spans="1:20" x14ac:dyDescent="0.25">
      <c r="A178" s="10" t="s">
        <v>1153</v>
      </c>
      <c r="B178" s="10">
        <v>713861</v>
      </c>
      <c r="C178" s="10" t="s">
        <v>1154</v>
      </c>
      <c r="D178" s="10" t="s">
        <v>1155</v>
      </c>
      <c r="E178" s="10" t="s">
        <v>1156</v>
      </c>
      <c r="F178" s="10" t="s">
        <v>1157</v>
      </c>
      <c r="G178" s="10" t="s">
        <v>1158</v>
      </c>
      <c r="H178" s="10" t="s">
        <v>1159</v>
      </c>
      <c r="I178" s="10" t="s">
        <v>263</v>
      </c>
      <c r="J178" s="10"/>
      <c r="K178" s="10" t="s">
        <v>264</v>
      </c>
      <c r="L178" s="10" t="s">
        <v>73</v>
      </c>
      <c r="M178" s="7" t="s">
        <v>1356</v>
      </c>
      <c r="N178" s="10" t="s">
        <v>1816</v>
      </c>
      <c r="O178" s="7" t="s">
        <v>1817</v>
      </c>
      <c r="P178" s="7" t="s">
        <v>1294</v>
      </c>
      <c r="Q178" s="10" t="s">
        <v>37</v>
      </c>
      <c r="R178" s="10" t="s">
        <v>38</v>
      </c>
      <c r="S178" s="10" t="s">
        <v>116</v>
      </c>
      <c r="T178" s="68"/>
    </row>
    <row r="179" spans="1:20" hidden="1" x14ac:dyDescent="0.25">
      <c r="A179" s="8" t="s">
        <v>1160</v>
      </c>
      <c r="B179" s="8">
        <v>830278</v>
      </c>
      <c r="C179" s="8" t="s">
        <v>1161</v>
      </c>
      <c r="D179" s="8" t="s">
        <v>1162</v>
      </c>
      <c r="E179" s="8" t="s">
        <v>1162</v>
      </c>
      <c r="F179" s="8" t="s">
        <v>1163</v>
      </c>
      <c r="G179" s="8" t="s">
        <v>1164</v>
      </c>
      <c r="H179" s="8" t="s">
        <v>157</v>
      </c>
      <c r="I179" s="8" t="s">
        <v>96</v>
      </c>
      <c r="J179" s="8" t="s">
        <v>123</v>
      </c>
      <c r="K179" s="8" t="s">
        <v>98</v>
      </c>
      <c r="L179" s="8" t="s">
        <v>99</v>
      </c>
      <c r="M179" s="7" t="s">
        <v>100</v>
      </c>
      <c r="N179" s="8" t="e">
        <v>#N/A</v>
      </c>
      <c r="O179" s="7" t="e">
        <v>#N/A</v>
      </c>
      <c r="P179" s="66" t="s">
        <v>1775</v>
      </c>
      <c r="Q179" s="8" t="s">
        <v>74</v>
      </c>
      <c r="R179" s="8" t="s">
        <v>38</v>
      </c>
      <c r="S179" s="8" t="s">
        <v>101</v>
      </c>
      <c r="T179" s="68"/>
    </row>
    <row r="180" spans="1:20" x14ac:dyDescent="0.25">
      <c r="A180" s="10" t="s">
        <v>1165</v>
      </c>
      <c r="B180" s="10">
        <v>281533</v>
      </c>
      <c r="C180" s="10" t="s">
        <v>1166</v>
      </c>
      <c r="D180" s="10" t="s">
        <v>1167</v>
      </c>
      <c r="E180" s="10" t="s">
        <v>1167</v>
      </c>
      <c r="F180" s="10" t="s">
        <v>1168</v>
      </c>
      <c r="G180" s="10" t="s">
        <v>1169</v>
      </c>
      <c r="H180" s="10" t="s">
        <v>98</v>
      </c>
      <c r="I180" s="10" t="s">
        <v>51</v>
      </c>
      <c r="J180" s="10"/>
      <c r="K180" s="10" t="s">
        <v>53</v>
      </c>
      <c r="L180" s="10" t="s">
        <v>64</v>
      </c>
      <c r="M180" s="7" t="s">
        <v>1807</v>
      </c>
      <c r="N180" s="10" t="s">
        <v>1812</v>
      </c>
      <c r="O180" s="7" t="s">
        <v>1813</v>
      </c>
      <c r="P180" s="7" t="s">
        <v>1294</v>
      </c>
      <c r="Q180" s="10" t="s">
        <v>56</v>
      </c>
      <c r="R180" s="10" t="s">
        <v>38</v>
      </c>
      <c r="S180" s="10" t="s">
        <v>57</v>
      </c>
      <c r="T180" s="68"/>
    </row>
    <row r="181" spans="1:20" hidden="1" x14ac:dyDescent="0.25">
      <c r="A181" s="8" t="s">
        <v>1170</v>
      </c>
      <c r="B181" s="8">
        <v>361573</v>
      </c>
      <c r="C181" s="8" t="s">
        <v>1171</v>
      </c>
      <c r="D181" s="8" t="s">
        <v>1172</v>
      </c>
      <c r="E181" s="8" t="s">
        <v>1172</v>
      </c>
      <c r="F181" s="8" t="s">
        <v>1173</v>
      </c>
      <c r="G181" s="8" t="s">
        <v>1174</v>
      </c>
      <c r="H181" s="8" t="s">
        <v>1175</v>
      </c>
      <c r="I181" s="8" t="s">
        <v>71</v>
      </c>
      <c r="J181" s="8"/>
      <c r="K181" s="8" t="s">
        <v>72</v>
      </c>
      <c r="L181" s="8" t="s">
        <v>54</v>
      </c>
      <c r="M181" s="7" t="s">
        <v>346</v>
      </c>
      <c r="N181" s="8" t="e">
        <v>#N/A</v>
      </c>
      <c r="O181" s="7" t="e">
        <v>#N/A</v>
      </c>
      <c r="P181" s="66" t="s">
        <v>1775</v>
      </c>
      <c r="Q181" s="8" t="s">
        <v>56</v>
      </c>
      <c r="R181" s="8" t="s">
        <v>38</v>
      </c>
      <c r="S181" s="8" t="s">
        <v>101</v>
      </c>
      <c r="T181" s="68"/>
    </row>
    <row r="182" spans="1:20" x14ac:dyDescent="0.25">
      <c r="A182" s="10" t="s">
        <v>1176</v>
      </c>
      <c r="B182" s="10">
        <v>409769</v>
      </c>
      <c r="C182" s="10" t="s">
        <v>1177</v>
      </c>
      <c r="D182" s="10" t="s">
        <v>1178</v>
      </c>
      <c r="E182" s="10" t="s">
        <v>1178</v>
      </c>
      <c r="F182" s="10" t="s">
        <v>1179</v>
      </c>
      <c r="G182" s="10" t="s">
        <v>1180</v>
      </c>
      <c r="H182" s="10" t="s">
        <v>1175</v>
      </c>
      <c r="I182" s="10" t="s">
        <v>34</v>
      </c>
      <c r="J182" s="10"/>
      <c r="K182" s="10" t="s">
        <v>35</v>
      </c>
      <c r="L182" s="10" t="s">
        <v>64</v>
      </c>
      <c r="M182" s="7" t="s">
        <v>1806</v>
      </c>
      <c r="N182" s="10" t="s">
        <v>1810</v>
      </c>
      <c r="O182" s="7" t="s">
        <v>1811</v>
      </c>
      <c r="P182" s="7" t="s">
        <v>1294</v>
      </c>
      <c r="Q182" s="10" t="s">
        <v>56</v>
      </c>
      <c r="R182" s="10" t="s">
        <v>38</v>
      </c>
      <c r="S182" s="10" t="s">
        <v>39</v>
      </c>
      <c r="T182" s="68"/>
    </row>
    <row r="183" spans="1:20" x14ac:dyDescent="0.25">
      <c r="A183" s="8" t="s">
        <v>1181</v>
      </c>
      <c r="B183" s="8">
        <v>409769</v>
      </c>
      <c r="C183" s="8" t="s">
        <v>1177</v>
      </c>
      <c r="D183" s="8" t="s">
        <v>1182</v>
      </c>
      <c r="E183" s="8" t="s">
        <v>1182</v>
      </c>
      <c r="F183" s="8" t="s">
        <v>1179</v>
      </c>
      <c r="G183" s="8" t="s">
        <v>1180</v>
      </c>
      <c r="H183" s="8" t="s">
        <v>1175</v>
      </c>
      <c r="I183" s="8" t="s">
        <v>34</v>
      </c>
      <c r="J183" s="8"/>
      <c r="K183" s="8" t="s">
        <v>35</v>
      </c>
      <c r="L183" s="8" t="s">
        <v>64</v>
      </c>
      <c r="M183" s="7" t="s">
        <v>1806</v>
      </c>
      <c r="N183" s="8" t="s">
        <v>1810</v>
      </c>
      <c r="O183" s="7" t="s">
        <v>1811</v>
      </c>
      <c r="P183" s="7" t="s">
        <v>1294</v>
      </c>
      <c r="Q183" s="8" t="s">
        <v>56</v>
      </c>
      <c r="R183" s="8" t="s">
        <v>38</v>
      </c>
      <c r="S183" s="8" t="s">
        <v>39</v>
      </c>
      <c r="T183" s="68"/>
    </row>
    <row r="184" spans="1:20" x14ac:dyDescent="0.25">
      <c r="A184" s="10" t="s">
        <v>1183</v>
      </c>
      <c r="B184" s="10">
        <v>409786</v>
      </c>
      <c r="C184" s="10" t="s">
        <v>1184</v>
      </c>
      <c r="D184" s="10" t="s">
        <v>1185</v>
      </c>
      <c r="E184" s="10" t="s">
        <v>1185</v>
      </c>
      <c r="F184" s="10" t="s">
        <v>1186</v>
      </c>
      <c r="G184" s="10" t="s">
        <v>1187</v>
      </c>
      <c r="H184" s="10" t="s">
        <v>1188</v>
      </c>
      <c r="I184" s="10" t="s">
        <v>34</v>
      </c>
      <c r="J184" s="10"/>
      <c r="K184" s="10" t="s">
        <v>35</v>
      </c>
      <c r="L184" s="10" t="s">
        <v>73</v>
      </c>
      <c r="M184" s="7" t="s">
        <v>1806</v>
      </c>
      <c r="N184" s="10" t="s">
        <v>1810</v>
      </c>
      <c r="O184" s="7" t="s">
        <v>1811</v>
      </c>
      <c r="P184" s="7" t="s">
        <v>1294</v>
      </c>
      <c r="Q184" s="10" t="s">
        <v>56</v>
      </c>
      <c r="R184" s="10" t="s">
        <v>38</v>
      </c>
      <c r="S184" s="10" t="s">
        <v>39</v>
      </c>
      <c r="T184" s="68"/>
    </row>
    <row r="185" spans="1:20" x14ac:dyDescent="0.25">
      <c r="A185" s="8" t="s">
        <v>1189</v>
      </c>
      <c r="B185" s="8">
        <v>936372</v>
      </c>
      <c r="C185" s="8" t="s">
        <v>1190</v>
      </c>
      <c r="D185" s="8" t="s">
        <v>1191</v>
      </c>
      <c r="E185" s="8" t="s">
        <v>1191</v>
      </c>
      <c r="F185" s="8" t="s">
        <v>1192</v>
      </c>
      <c r="G185" s="8" t="s">
        <v>1193</v>
      </c>
      <c r="H185" s="8" t="s">
        <v>1194</v>
      </c>
      <c r="I185" s="8" t="s">
        <v>51</v>
      </c>
      <c r="J185" s="8"/>
      <c r="K185" s="8" t="s">
        <v>53</v>
      </c>
      <c r="L185" s="8" t="s">
        <v>64</v>
      </c>
      <c r="M185" s="7" t="s">
        <v>1807</v>
      </c>
      <c r="N185" s="8" t="s">
        <v>1812</v>
      </c>
      <c r="O185" s="7" t="s">
        <v>1813</v>
      </c>
      <c r="P185" s="7" t="s">
        <v>1294</v>
      </c>
      <c r="Q185" s="8" t="s">
        <v>56</v>
      </c>
      <c r="R185" s="8" t="s">
        <v>38</v>
      </c>
      <c r="S185" s="8" t="s">
        <v>116</v>
      </c>
      <c r="T185" s="68"/>
    </row>
    <row r="186" spans="1:20" x14ac:dyDescent="0.25">
      <c r="A186" s="10" t="s">
        <v>1195</v>
      </c>
      <c r="B186" s="10">
        <v>713921</v>
      </c>
      <c r="C186" s="10" t="s">
        <v>1196</v>
      </c>
      <c r="D186" s="10" t="s">
        <v>1197</v>
      </c>
      <c r="E186" s="10" t="s">
        <v>1197</v>
      </c>
      <c r="F186" s="10" t="s">
        <v>1198</v>
      </c>
      <c r="G186" s="10" t="s">
        <v>1199</v>
      </c>
      <c r="H186" s="10" t="s">
        <v>1200</v>
      </c>
      <c r="I186" s="10" t="s">
        <v>263</v>
      </c>
      <c r="J186" s="10"/>
      <c r="K186" s="10" t="s">
        <v>264</v>
      </c>
      <c r="L186" s="10" t="s">
        <v>73</v>
      </c>
      <c r="M186" s="7" t="s">
        <v>1356</v>
      </c>
      <c r="N186" s="10" t="s">
        <v>1814</v>
      </c>
      <c r="O186" s="7" t="s">
        <v>1815</v>
      </c>
      <c r="P186" s="7" t="s">
        <v>1294</v>
      </c>
      <c r="Q186" s="10" t="s">
        <v>37</v>
      </c>
      <c r="R186" s="10" t="s">
        <v>38</v>
      </c>
      <c r="S186" s="10" t="s">
        <v>89</v>
      </c>
      <c r="T186" s="68"/>
    </row>
    <row r="187" spans="1:20" x14ac:dyDescent="0.25">
      <c r="A187" s="8" t="s">
        <v>1201</v>
      </c>
      <c r="B187" s="8">
        <v>409547</v>
      </c>
      <c r="C187" s="8" t="s">
        <v>1202</v>
      </c>
      <c r="D187" s="8" t="s">
        <v>1203</v>
      </c>
      <c r="E187" s="8" t="s">
        <v>1203</v>
      </c>
      <c r="F187" s="8" t="s">
        <v>1204</v>
      </c>
      <c r="G187" s="8" t="s">
        <v>1205</v>
      </c>
      <c r="H187" s="8" t="s">
        <v>1206</v>
      </c>
      <c r="I187" s="8" t="s">
        <v>34</v>
      </c>
      <c r="J187" s="8"/>
      <c r="K187" s="8" t="s">
        <v>35</v>
      </c>
      <c r="L187" s="8" t="s">
        <v>73</v>
      </c>
      <c r="M187" s="7" t="s">
        <v>1806</v>
      </c>
      <c r="N187" s="8" t="s">
        <v>1810</v>
      </c>
      <c r="O187" s="7" t="s">
        <v>1811</v>
      </c>
      <c r="P187" s="7" t="s">
        <v>1294</v>
      </c>
      <c r="Q187" s="8" t="s">
        <v>74</v>
      </c>
      <c r="R187" s="8" t="s">
        <v>38</v>
      </c>
      <c r="S187" s="8" t="s">
        <v>39</v>
      </c>
      <c r="T187" s="68"/>
    </row>
    <row r="188" spans="1:20" x14ac:dyDescent="0.25">
      <c r="A188" s="10" t="s">
        <v>1207</v>
      </c>
      <c r="B188" s="10">
        <v>409753</v>
      </c>
      <c r="C188" s="10" t="s">
        <v>1208</v>
      </c>
      <c r="D188" s="10" t="s">
        <v>1209</v>
      </c>
      <c r="E188" s="10" t="s">
        <v>1209</v>
      </c>
      <c r="F188" s="10" t="s">
        <v>1210</v>
      </c>
      <c r="G188" s="10" t="s">
        <v>1211</v>
      </c>
      <c r="H188" s="10" t="s">
        <v>1212</v>
      </c>
      <c r="I188" s="10" t="s">
        <v>34</v>
      </c>
      <c r="J188" s="10"/>
      <c r="K188" s="10" t="s">
        <v>35</v>
      </c>
      <c r="L188" s="10" t="s">
        <v>64</v>
      </c>
      <c r="M188" s="7" t="s">
        <v>1806</v>
      </c>
      <c r="N188" s="10" t="s">
        <v>1810</v>
      </c>
      <c r="O188" s="7" t="s">
        <v>1811</v>
      </c>
      <c r="P188" s="7" t="s">
        <v>1294</v>
      </c>
      <c r="Q188" s="10" t="s">
        <v>56</v>
      </c>
      <c r="R188" s="10" t="s">
        <v>38</v>
      </c>
      <c r="S188" s="10" t="s">
        <v>39</v>
      </c>
      <c r="T188" s="68"/>
    </row>
    <row r="189" spans="1:20" x14ac:dyDescent="0.25">
      <c r="A189" s="8" t="s">
        <v>1213</v>
      </c>
      <c r="B189" s="8">
        <v>281443</v>
      </c>
      <c r="C189" s="8" t="s">
        <v>1214</v>
      </c>
      <c r="D189" s="8" t="s">
        <v>1215</v>
      </c>
      <c r="E189" s="8" t="s">
        <v>1215</v>
      </c>
      <c r="F189" s="8" t="s">
        <v>1216</v>
      </c>
      <c r="G189" s="8" t="s">
        <v>1217</v>
      </c>
      <c r="H189" s="8" t="s">
        <v>1218</v>
      </c>
      <c r="I189" s="8" t="s">
        <v>34</v>
      </c>
      <c r="J189" s="8"/>
      <c r="K189" s="8" t="s">
        <v>35</v>
      </c>
      <c r="L189" s="8" t="s">
        <v>36</v>
      </c>
      <c r="M189" s="7" t="s">
        <v>1806</v>
      </c>
      <c r="N189" s="8" t="s">
        <v>1810</v>
      </c>
      <c r="O189" s="7" t="s">
        <v>1811</v>
      </c>
      <c r="P189" s="7" t="s">
        <v>1294</v>
      </c>
      <c r="Q189" s="8" t="s">
        <v>150</v>
      </c>
      <c r="R189" s="8" t="s">
        <v>38</v>
      </c>
      <c r="S189" s="8" t="s">
        <v>39</v>
      </c>
      <c r="T189" s="68"/>
    </row>
    <row r="190" spans="1:20" x14ac:dyDescent="0.25">
      <c r="A190" s="10" t="s">
        <v>1219</v>
      </c>
      <c r="B190" s="10">
        <v>979532</v>
      </c>
      <c r="C190" s="10" t="s">
        <v>1220</v>
      </c>
      <c r="D190" s="10" t="s">
        <v>1221</v>
      </c>
      <c r="E190" s="10" t="s">
        <v>1221</v>
      </c>
      <c r="F190" s="10" t="s">
        <v>1222</v>
      </c>
      <c r="G190" s="10" t="s">
        <v>1223</v>
      </c>
      <c r="H190" s="10" t="s">
        <v>1224</v>
      </c>
      <c r="I190" s="10" t="s">
        <v>71</v>
      </c>
      <c r="J190" s="10"/>
      <c r="K190" s="10" t="s">
        <v>72</v>
      </c>
      <c r="L190" s="10" t="s">
        <v>73</v>
      </c>
      <c r="M190" s="7" t="s">
        <v>1808</v>
      </c>
      <c r="N190" s="10" t="s">
        <v>1814</v>
      </c>
      <c r="O190" s="7" t="s">
        <v>1815</v>
      </c>
      <c r="P190" s="7" t="s">
        <v>1294</v>
      </c>
      <c r="Q190" s="10" t="s">
        <v>56</v>
      </c>
      <c r="R190" s="10" t="s">
        <v>38</v>
      </c>
      <c r="S190" s="10" t="s">
        <v>57</v>
      </c>
      <c r="T190" s="68"/>
    </row>
    <row r="191" spans="1:20" x14ac:dyDescent="0.25">
      <c r="A191" s="8" t="s">
        <v>1225</v>
      </c>
      <c r="B191" s="8">
        <v>409834</v>
      </c>
      <c r="C191" s="8" t="s">
        <v>1226</v>
      </c>
      <c r="D191" s="8" t="s">
        <v>1227</v>
      </c>
      <c r="E191" s="8" t="s">
        <v>1227</v>
      </c>
      <c r="F191" s="8" t="s">
        <v>1228</v>
      </c>
      <c r="G191" s="8" t="s">
        <v>1229</v>
      </c>
      <c r="H191" s="8" t="s">
        <v>1230</v>
      </c>
      <c r="I191" s="8" t="s">
        <v>34</v>
      </c>
      <c r="J191" s="8"/>
      <c r="K191" s="8" t="s">
        <v>35</v>
      </c>
      <c r="L191" s="8" t="s">
        <v>73</v>
      </c>
      <c r="M191" s="7" t="s">
        <v>1806</v>
      </c>
      <c r="N191" s="8" t="s">
        <v>1810</v>
      </c>
      <c r="O191" s="7" t="s">
        <v>1811</v>
      </c>
      <c r="P191" s="7" t="s">
        <v>1294</v>
      </c>
      <c r="Q191" s="8" t="s">
        <v>74</v>
      </c>
      <c r="R191" s="8" t="s">
        <v>38</v>
      </c>
      <c r="S191" s="8" t="s">
        <v>39</v>
      </c>
      <c r="T191" s="68"/>
    </row>
    <row r="192" spans="1:20" hidden="1" x14ac:dyDescent="0.25">
      <c r="A192" s="10" t="s">
        <v>1231</v>
      </c>
      <c r="B192" s="10">
        <v>361543</v>
      </c>
      <c r="C192" s="10" t="s">
        <v>1232</v>
      </c>
      <c r="D192" s="10" t="s">
        <v>1233</v>
      </c>
      <c r="E192" s="10" t="s">
        <v>1233</v>
      </c>
      <c r="F192" s="10" t="s">
        <v>1234</v>
      </c>
      <c r="G192" s="10" t="s">
        <v>1235</v>
      </c>
      <c r="H192" s="10" t="s">
        <v>947</v>
      </c>
      <c r="I192" s="10" t="s">
        <v>51</v>
      </c>
      <c r="J192" s="10" t="s">
        <v>52</v>
      </c>
      <c r="K192" s="10" t="s">
        <v>53</v>
      </c>
      <c r="L192" s="10" t="s">
        <v>54</v>
      </c>
      <c r="M192" s="7" t="s">
        <v>55</v>
      </c>
      <c r="N192" s="10" t="e">
        <v>#N/A</v>
      </c>
      <c r="O192" s="7" t="e">
        <v>#N/A</v>
      </c>
      <c r="P192" s="66" t="s">
        <v>1775</v>
      </c>
      <c r="Q192" s="10" t="s">
        <v>56</v>
      </c>
      <c r="R192" s="10" t="s">
        <v>38</v>
      </c>
      <c r="S192" s="10" t="s">
        <v>101</v>
      </c>
      <c r="T192" s="68"/>
    </row>
    <row r="193" spans="1:20" x14ac:dyDescent="0.25">
      <c r="A193" s="8" t="s">
        <v>1236</v>
      </c>
      <c r="B193" s="8">
        <v>409283</v>
      </c>
      <c r="C193" s="8" t="s">
        <v>1237</v>
      </c>
      <c r="D193" s="8" t="s">
        <v>1238</v>
      </c>
      <c r="E193" s="8" t="s">
        <v>1238</v>
      </c>
      <c r="F193" s="8" t="s">
        <v>1239</v>
      </c>
      <c r="G193" s="8" t="s">
        <v>1240</v>
      </c>
      <c r="H193" s="8" t="s">
        <v>1241</v>
      </c>
      <c r="I193" s="8" t="s">
        <v>34</v>
      </c>
      <c r="J193" s="8"/>
      <c r="K193" s="8" t="s">
        <v>35</v>
      </c>
      <c r="L193" s="8" t="s">
        <v>73</v>
      </c>
      <c r="M193" s="7" t="s">
        <v>1806</v>
      </c>
      <c r="N193" s="8" t="s">
        <v>1810</v>
      </c>
      <c r="O193" s="7" t="s">
        <v>1811</v>
      </c>
      <c r="P193" s="7" t="s">
        <v>1294</v>
      </c>
      <c r="Q193" s="8" t="s">
        <v>74</v>
      </c>
      <c r="R193" s="8" t="s">
        <v>38</v>
      </c>
      <c r="S193" s="8" t="s">
        <v>39</v>
      </c>
      <c r="T193" s="68"/>
    </row>
    <row r="194" spans="1:20" x14ac:dyDescent="0.25">
      <c r="A194" s="10" t="s">
        <v>1242</v>
      </c>
      <c r="B194" s="10">
        <v>713991</v>
      </c>
      <c r="C194" s="10" t="s">
        <v>1243</v>
      </c>
      <c r="D194" s="10" t="s">
        <v>1244</v>
      </c>
      <c r="E194" s="10" t="s">
        <v>1244</v>
      </c>
      <c r="F194" s="10" t="s">
        <v>1245</v>
      </c>
      <c r="G194" s="10" t="s">
        <v>1246</v>
      </c>
      <c r="H194" s="10" t="s">
        <v>1247</v>
      </c>
      <c r="I194" s="10" t="s">
        <v>263</v>
      </c>
      <c r="J194" s="10"/>
      <c r="K194" s="10" t="s">
        <v>264</v>
      </c>
      <c r="L194" s="10" t="s">
        <v>36</v>
      </c>
      <c r="M194" s="7" t="s">
        <v>1356</v>
      </c>
      <c r="N194" s="10" t="s">
        <v>1814</v>
      </c>
      <c r="O194" s="7" t="s">
        <v>1815</v>
      </c>
      <c r="P194" s="7" t="s">
        <v>1294</v>
      </c>
      <c r="Q194" s="10" t="s">
        <v>150</v>
      </c>
      <c r="R194" s="10" t="s">
        <v>38</v>
      </c>
      <c r="S194" s="10" t="s">
        <v>57</v>
      </c>
      <c r="T194" s="68"/>
    </row>
    <row r="195" spans="1:20" hidden="1" x14ac:dyDescent="0.25">
      <c r="A195" s="8" t="s">
        <v>1248</v>
      </c>
      <c r="B195" s="8">
        <v>361991</v>
      </c>
      <c r="C195" s="8" t="s">
        <v>1249</v>
      </c>
      <c r="D195" s="8" t="s">
        <v>1250</v>
      </c>
      <c r="E195" s="8" t="s">
        <v>1250</v>
      </c>
      <c r="F195" s="8" t="s">
        <v>1251</v>
      </c>
      <c r="G195" s="8" t="s">
        <v>1252</v>
      </c>
      <c r="H195" s="8" t="s">
        <v>1247</v>
      </c>
      <c r="I195" s="8" t="s">
        <v>51</v>
      </c>
      <c r="J195" s="8" t="s">
        <v>52</v>
      </c>
      <c r="K195" s="8" t="s">
        <v>53</v>
      </c>
      <c r="L195" s="8" t="s">
        <v>54</v>
      </c>
      <c r="M195" s="7" t="s">
        <v>55</v>
      </c>
      <c r="N195" s="8" t="e">
        <v>#N/A</v>
      </c>
      <c r="O195" s="7" t="e">
        <v>#N/A</v>
      </c>
      <c r="P195" s="66" t="s">
        <v>1775</v>
      </c>
      <c r="Q195" s="8" t="s">
        <v>37</v>
      </c>
      <c r="R195" s="8" t="s">
        <v>38</v>
      </c>
      <c r="S195" s="8" t="s">
        <v>101</v>
      </c>
      <c r="T195" s="68"/>
    </row>
    <row r="196" spans="1:20" hidden="1" x14ac:dyDescent="0.25">
      <c r="A196" s="10" t="s">
        <v>1253</v>
      </c>
      <c r="B196" s="10">
        <v>361293</v>
      </c>
      <c r="C196" s="10" t="s">
        <v>1254</v>
      </c>
      <c r="D196" s="10" t="s">
        <v>1255</v>
      </c>
      <c r="E196" s="10" t="s">
        <v>1255</v>
      </c>
      <c r="F196" s="10" t="s">
        <v>1256</v>
      </c>
      <c r="G196" s="10" t="s">
        <v>1257</v>
      </c>
      <c r="H196" s="10" t="s">
        <v>954</v>
      </c>
      <c r="I196" s="10" t="s">
        <v>71</v>
      </c>
      <c r="J196" s="10"/>
      <c r="K196" s="10" t="s">
        <v>72</v>
      </c>
      <c r="L196" s="10" t="s">
        <v>54</v>
      </c>
      <c r="M196" s="7" t="s">
        <v>346</v>
      </c>
      <c r="N196" s="10" t="e">
        <v>#N/A</v>
      </c>
      <c r="O196" s="7" t="e">
        <v>#N/A</v>
      </c>
      <c r="P196" s="66" t="s">
        <v>1775</v>
      </c>
      <c r="Q196" s="10" t="s">
        <v>74</v>
      </c>
      <c r="R196" s="10" t="s">
        <v>38</v>
      </c>
      <c r="S196" s="10" t="s">
        <v>101</v>
      </c>
      <c r="T196" s="68"/>
    </row>
    <row r="197" spans="1:20" hidden="1" x14ac:dyDescent="0.25">
      <c r="A197" s="8" t="s">
        <v>1258</v>
      </c>
      <c r="B197" s="8">
        <v>361564</v>
      </c>
      <c r="C197" s="8" t="s">
        <v>1259</v>
      </c>
      <c r="D197" s="8" t="s">
        <v>1260</v>
      </c>
      <c r="E197" s="8" t="s">
        <v>1260</v>
      </c>
      <c r="F197" s="8" t="s">
        <v>1261</v>
      </c>
      <c r="G197" s="8" t="s">
        <v>1262</v>
      </c>
      <c r="H197" s="8" t="s">
        <v>1263</v>
      </c>
      <c r="I197" s="8" t="s">
        <v>71</v>
      </c>
      <c r="J197" s="8"/>
      <c r="K197" s="8" t="s">
        <v>72</v>
      </c>
      <c r="L197" s="8" t="s">
        <v>54</v>
      </c>
      <c r="M197" s="7" t="s">
        <v>346</v>
      </c>
      <c r="N197" s="8" t="e">
        <v>#N/A</v>
      </c>
      <c r="O197" s="7" t="e">
        <v>#N/A</v>
      </c>
      <c r="P197" s="66" t="s">
        <v>1775</v>
      </c>
      <c r="Q197" s="8" t="s">
        <v>74</v>
      </c>
      <c r="R197" s="8" t="s">
        <v>38</v>
      </c>
      <c r="S197" s="8" t="s">
        <v>101</v>
      </c>
      <c r="T197" s="68"/>
    </row>
    <row r="198" spans="1:20" hidden="1" x14ac:dyDescent="0.25">
      <c r="A198" s="10" t="s">
        <v>1264</v>
      </c>
      <c r="B198" s="10">
        <v>956765</v>
      </c>
      <c r="C198" s="10" t="s">
        <v>1265</v>
      </c>
      <c r="D198" s="10" t="s">
        <v>1266</v>
      </c>
      <c r="E198" s="10" t="s">
        <v>1266</v>
      </c>
      <c r="F198" s="10" t="s">
        <v>1267</v>
      </c>
      <c r="G198" s="10" t="s">
        <v>1268</v>
      </c>
      <c r="H198" s="10" t="s">
        <v>1269</v>
      </c>
      <c r="I198" s="10" t="s">
        <v>96</v>
      </c>
      <c r="J198" s="10" t="s">
        <v>97</v>
      </c>
      <c r="K198" s="10" t="s">
        <v>98</v>
      </c>
      <c r="L198" s="10" t="s">
        <v>99</v>
      </c>
      <c r="M198" s="7" t="s">
        <v>182</v>
      </c>
      <c r="N198" s="10" t="e">
        <v>#N/A</v>
      </c>
      <c r="O198" s="7" t="e">
        <v>#N/A</v>
      </c>
      <c r="P198" s="66" t="s">
        <v>1775</v>
      </c>
      <c r="Q198" s="10" t="s">
        <v>74</v>
      </c>
      <c r="R198" s="10" t="s">
        <v>38</v>
      </c>
      <c r="S198" s="10" t="s">
        <v>101</v>
      </c>
      <c r="T198" s="68"/>
    </row>
    <row r="200" spans="1:20" ht="15.75" thickBot="1" x14ac:dyDescent="0.3"/>
    <row r="201" spans="1:20" ht="15.75" thickBot="1" x14ac:dyDescent="0.3">
      <c r="A201" s="119" t="s">
        <v>1270</v>
      </c>
      <c r="B201" s="120"/>
      <c r="C201" s="121"/>
    </row>
    <row r="202" spans="1:20" ht="15.75" thickBot="1" x14ac:dyDescent="0.3">
      <c r="A202" s="12" t="s">
        <v>1271</v>
      </c>
      <c r="B202" s="13" t="s">
        <v>1762</v>
      </c>
      <c r="C202" s="13" t="s">
        <v>1763</v>
      </c>
      <c r="D202" s="12" t="s">
        <v>15</v>
      </c>
      <c r="E202" t="s">
        <v>1272</v>
      </c>
    </row>
    <row r="203" spans="1:20" x14ac:dyDescent="0.25">
      <c r="A203" s="9" t="s">
        <v>30</v>
      </c>
      <c r="B203" s="15" t="str">
        <f>INDEX($N$2:$N$198,MATCH(D203,$C$2:$C$198,0))</f>
        <v>NEHST</v>
      </c>
      <c r="C203" s="16" t="str">
        <f>A203&amp;"-    "&amp;B203</f>
        <v>AIRLINE-    NEHST</v>
      </c>
      <c r="D203" s="14" t="s">
        <v>29</v>
      </c>
      <c r="E203" t="str">
        <f>INDEX($N$2:$N$198,MATCH(D203,$C$2:$C$198,0))</f>
        <v>NEHST</v>
      </c>
    </row>
    <row r="204" spans="1:20" x14ac:dyDescent="0.25">
      <c r="A204" s="8" t="s">
        <v>42</v>
      </c>
      <c r="B204" s="15" t="str">
        <f t="shared" ref="B204:B254" si="0">INDEX($N$2:$N$198,MATCH(D204,$C$2:$C$198,0))</f>
        <v>NEHST</v>
      </c>
      <c r="C204" s="15" t="str">
        <f t="shared" ref="C204:C250" si="1">A204&amp;"-    "&amp;B204</f>
        <v>ALDINE-    NEHST</v>
      </c>
      <c r="D204" s="17" t="s">
        <v>41</v>
      </c>
      <c r="E204" t="str">
        <f t="shared" ref="E204:E254" si="2">INDEX($N$2:$N$198,MATCH(D204,$C$2:$C$198,0))</f>
        <v>NEHST</v>
      </c>
    </row>
    <row r="205" spans="1:20" x14ac:dyDescent="0.25">
      <c r="A205" s="8" t="s">
        <v>60</v>
      </c>
      <c r="B205" s="15" t="str">
        <f t="shared" si="0"/>
        <v>SWHST</v>
      </c>
      <c r="C205" s="15" t="str">
        <f t="shared" si="1"/>
        <v>ALIEF-    SWHST</v>
      </c>
      <c r="D205" s="17" t="s">
        <v>59</v>
      </c>
      <c r="E205" t="str">
        <f t="shared" si="2"/>
        <v>SWHST</v>
      </c>
    </row>
    <row r="206" spans="1:20" x14ac:dyDescent="0.25">
      <c r="A206" s="8" t="s">
        <v>67</v>
      </c>
      <c r="B206" s="15" t="str">
        <f t="shared" si="0"/>
        <v>SEHST</v>
      </c>
      <c r="C206" s="15" t="str">
        <f t="shared" si="1"/>
        <v>ALVIN-    SEHST</v>
      </c>
      <c r="D206" s="17" t="s">
        <v>66</v>
      </c>
      <c r="E206" t="str">
        <f t="shared" si="2"/>
        <v>SEHST</v>
      </c>
    </row>
    <row r="207" spans="1:20" x14ac:dyDescent="0.25">
      <c r="A207" s="8" t="s">
        <v>77</v>
      </c>
      <c r="B207" s="15" t="str">
        <f t="shared" si="0"/>
        <v>SEHST</v>
      </c>
      <c r="C207" s="15" t="str">
        <f t="shared" si="1"/>
        <v>ANGLETON-    SEHST</v>
      </c>
      <c r="D207" s="17" t="s">
        <v>76</v>
      </c>
      <c r="E207" t="str">
        <f t="shared" si="2"/>
        <v>SEHST</v>
      </c>
    </row>
    <row r="208" spans="1:20" x14ac:dyDescent="0.25">
      <c r="A208" s="8" t="s">
        <v>85</v>
      </c>
      <c r="B208" s="15" t="str">
        <f t="shared" si="0"/>
        <v>SEHST</v>
      </c>
      <c r="C208" s="15" t="str">
        <f t="shared" si="1"/>
        <v>APOLLO-    SEHST</v>
      </c>
      <c r="D208" s="17" t="s">
        <v>84</v>
      </c>
      <c r="E208" t="str">
        <f t="shared" si="2"/>
        <v>SEHST</v>
      </c>
    </row>
    <row r="209" spans="1:5" x14ac:dyDescent="0.25">
      <c r="A209" s="8" t="s">
        <v>104</v>
      </c>
      <c r="B209" s="15" t="str">
        <f t="shared" si="0"/>
        <v>NWHST</v>
      </c>
      <c r="C209" s="15" t="str">
        <f t="shared" si="1"/>
        <v>BAMMEL-    NWHST</v>
      </c>
      <c r="D209" s="17" t="s">
        <v>103</v>
      </c>
      <c r="E209" t="str">
        <f t="shared" si="2"/>
        <v>NWHST</v>
      </c>
    </row>
    <row r="210" spans="1:5" x14ac:dyDescent="0.25">
      <c r="A210" s="8" t="s">
        <v>112</v>
      </c>
      <c r="B210" s="15" t="str">
        <f t="shared" si="0"/>
        <v>SWHST</v>
      </c>
      <c r="C210" s="15" t="str">
        <f t="shared" si="1"/>
        <v>BARKER-    SWHST</v>
      </c>
      <c r="D210" s="17" t="s">
        <v>111</v>
      </c>
      <c r="E210" t="str">
        <f t="shared" si="2"/>
        <v>SWHST</v>
      </c>
    </row>
    <row r="211" spans="1:5" x14ac:dyDescent="0.25">
      <c r="A211" s="8" t="s">
        <v>126</v>
      </c>
      <c r="B211" s="15" t="str">
        <f t="shared" si="0"/>
        <v>SEHST</v>
      </c>
      <c r="C211" s="15" t="str">
        <f t="shared" si="1"/>
        <v>BAY CITY-    SEHST</v>
      </c>
      <c r="D211" s="17" t="s">
        <v>125</v>
      </c>
      <c r="E211" t="str">
        <f t="shared" si="2"/>
        <v>SEHST</v>
      </c>
    </row>
    <row r="212" spans="1:5" x14ac:dyDescent="0.25">
      <c r="A212" s="8" t="s">
        <v>138</v>
      </c>
      <c r="B212" s="15" t="str">
        <f t="shared" si="0"/>
        <v>NEHST</v>
      </c>
      <c r="C212" s="15" t="str">
        <f t="shared" si="1"/>
        <v>BEAUMONT TERMINAL-    NEHST</v>
      </c>
      <c r="D212" s="17" t="s">
        <v>137</v>
      </c>
      <c r="E212" t="str">
        <f t="shared" si="2"/>
        <v>NEHST</v>
      </c>
    </row>
    <row r="213" spans="1:5" x14ac:dyDescent="0.25">
      <c r="A213" s="8" t="s">
        <v>145</v>
      </c>
      <c r="B213" s="15" t="str">
        <f t="shared" si="0"/>
        <v>NEHST</v>
      </c>
      <c r="C213" s="15" t="str">
        <f t="shared" si="1"/>
        <v>BEAUMONT TWINBROOK-    NEHST</v>
      </c>
      <c r="D213" s="17" t="s">
        <v>144</v>
      </c>
      <c r="E213" t="str">
        <f t="shared" si="2"/>
        <v>NEHST</v>
      </c>
    </row>
    <row r="214" spans="1:5" x14ac:dyDescent="0.25">
      <c r="A214" s="8" t="s">
        <v>153</v>
      </c>
      <c r="B214" s="15" t="str">
        <f t="shared" si="0"/>
        <v>NEHST</v>
      </c>
      <c r="C214" s="15" t="str">
        <f t="shared" si="1"/>
        <v>BEAUMONT UNIVERSITY-    NEHST</v>
      </c>
      <c r="D214" s="17" t="s">
        <v>152</v>
      </c>
      <c r="E214" t="str">
        <f t="shared" si="2"/>
        <v>NEHST</v>
      </c>
    </row>
    <row r="215" spans="1:5" x14ac:dyDescent="0.25">
      <c r="A215" s="8" t="s">
        <v>160</v>
      </c>
      <c r="B215" s="15" t="str">
        <f t="shared" si="0"/>
        <v>NEHST</v>
      </c>
      <c r="C215" s="15" t="str">
        <f t="shared" si="1"/>
        <v>BEAUMONT VICTOR-    NEHST</v>
      </c>
      <c r="D215" s="17" t="s">
        <v>159</v>
      </c>
      <c r="E215" t="str">
        <f t="shared" si="2"/>
        <v>NEHST</v>
      </c>
    </row>
    <row r="216" spans="1:5" x14ac:dyDescent="0.25">
      <c r="A216" s="8" t="s">
        <v>172</v>
      </c>
      <c r="B216" s="15" t="str">
        <f t="shared" si="0"/>
        <v>SWHST</v>
      </c>
      <c r="C216" s="15" t="str">
        <f t="shared" si="1"/>
        <v>BELLVILLE-    SWHST</v>
      </c>
      <c r="D216" s="17" t="s">
        <v>171</v>
      </c>
      <c r="E216" t="str">
        <f t="shared" si="2"/>
        <v>SWHST</v>
      </c>
    </row>
    <row r="217" spans="1:5" x14ac:dyDescent="0.25">
      <c r="A217" s="8" t="s">
        <v>191</v>
      </c>
      <c r="B217" s="15" t="str">
        <f t="shared" si="0"/>
        <v>SWHST</v>
      </c>
      <c r="C217" s="15" t="str">
        <f t="shared" si="1"/>
        <v>BLUERIDGE EAST-    SWHST</v>
      </c>
      <c r="D217" s="17" t="s">
        <v>190</v>
      </c>
      <c r="E217" t="str">
        <f t="shared" si="2"/>
        <v>SWHST</v>
      </c>
    </row>
    <row r="218" spans="1:5" x14ac:dyDescent="0.25">
      <c r="A218" s="8" t="s">
        <v>197</v>
      </c>
      <c r="B218" s="15" t="str">
        <f t="shared" si="0"/>
        <v>SWHST</v>
      </c>
      <c r="C218" s="15" t="str">
        <f t="shared" si="1"/>
        <v>BLUERIDGE WEST-    SWHST</v>
      </c>
      <c r="D218" s="17" t="s">
        <v>196</v>
      </c>
      <c r="E218" t="str">
        <f t="shared" si="2"/>
        <v>SWHST</v>
      </c>
    </row>
    <row r="219" spans="1:5" x14ac:dyDescent="0.25">
      <c r="A219" s="8" t="s">
        <v>209</v>
      </c>
      <c r="B219" s="15" t="str">
        <f t="shared" si="0"/>
        <v>SWHST</v>
      </c>
      <c r="C219" s="15" t="str">
        <f t="shared" si="1"/>
        <v>BRENHAM-    SWHST</v>
      </c>
      <c r="D219" s="17" t="s">
        <v>208</v>
      </c>
      <c r="E219" t="str">
        <f t="shared" si="2"/>
        <v>SWHST</v>
      </c>
    </row>
    <row r="220" spans="1:5" x14ac:dyDescent="0.25">
      <c r="A220" s="8" t="s">
        <v>215</v>
      </c>
      <c r="B220" s="15" t="str">
        <f t="shared" si="0"/>
        <v>NEHST</v>
      </c>
      <c r="C220" s="15" t="str">
        <f t="shared" si="1"/>
        <v>BRIDGE CITY-    NEHST</v>
      </c>
      <c r="D220" s="17" t="s">
        <v>214</v>
      </c>
      <c r="E220" t="str">
        <f t="shared" si="2"/>
        <v>NEHST</v>
      </c>
    </row>
    <row r="221" spans="1:5" x14ac:dyDescent="0.25">
      <c r="A221" s="8" t="s">
        <v>235</v>
      </c>
      <c r="B221" s="15" t="str">
        <f t="shared" si="0"/>
        <v>SWHST</v>
      </c>
      <c r="C221" s="15" t="str">
        <f t="shared" si="1"/>
        <v>BUFFALO-    SWHST</v>
      </c>
      <c r="D221" s="17" t="s">
        <v>234</v>
      </c>
      <c r="E221" t="str">
        <f t="shared" si="2"/>
        <v>SWHST</v>
      </c>
    </row>
    <row r="222" spans="1:5" x14ac:dyDescent="0.25">
      <c r="A222" s="8" t="s">
        <v>241</v>
      </c>
      <c r="B222" s="15" t="str">
        <f t="shared" si="0"/>
        <v>NEHST</v>
      </c>
      <c r="C222" s="15" t="str">
        <f t="shared" si="1"/>
        <v>BUNA-    NEHST</v>
      </c>
      <c r="D222" s="17" t="s">
        <v>240</v>
      </c>
      <c r="E222" t="str">
        <f t="shared" si="2"/>
        <v>NEHST</v>
      </c>
    </row>
    <row r="223" spans="1:5" x14ac:dyDescent="0.25">
      <c r="A223" s="8" t="s">
        <v>258</v>
      </c>
      <c r="B223" s="15" t="str">
        <f t="shared" si="0"/>
        <v>SEHST</v>
      </c>
      <c r="C223" s="15" t="str">
        <f t="shared" si="1"/>
        <v>CAPITOL -    SEHST</v>
      </c>
      <c r="D223" s="17" t="s">
        <v>257</v>
      </c>
      <c r="E223" t="str">
        <f t="shared" si="2"/>
        <v>SEHST</v>
      </c>
    </row>
    <row r="224" spans="1:5" x14ac:dyDescent="0.25">
      <c r="A224" s="8" t="s">
        <v>285</v>
      </c>
      <c r="B224" s="15" t="str">
        <f t="shared" si="0"/>
        <v>SEHST</v>
      </c>
      <c r="C224" s="15" t="str">
        <f t="shared" si="1"/>
        <v>CHANNELVIEW-    SEHST</v>
      </c>
      <c r="D224" s="17" t="s">
        <v>284</v>
      </c>
      <c r="E224" t="str">
        <f t="shared" si="2"/>
        <v>SEHST</v>
      </c>
    </row>
    <row r="225" spans="1:5" x14ac:dyDescent="0.25">
      <c r="A225" s="8" t="s">
        <v>291</v>
      </c>
      <c r="B225" s="15" t="str">
        <f t="shared" si="0"/>
        <v>NEHST</v>
      </c>
      <c r="C225" s="15" t="str">
        <f t="shared" si="1"/>
        <v>CHINA -    NEHST</v>
      </c>
      <c r="D225" s="17" t="s">
        <v>290</v>
      </c>
      <c r="E225" t="str">
        <f t="shared" si="2"/>
        <v>NEHST</v>
      </c>
    </row>
    <row r="226" spans="1:5" x14ac:dyDescent="0.25">
      <c r="A226" s="8" t="s">
        <v>298</v>
      </c>
      <c r="B226" s="15" t="str">
        <f t="shared" si="0"/>
        <v>SEHST</v>
      </c>
      <c r="C226" s="15" t="str">
        <f t="shared" si="1"/>
        <v>CLAY -    SEHST</v>
      </c>
      <c r="D226" s="17" t="s">
        <v>297</v>
      </c>
      <c r="E226" t="str">
        <f t="shared" si="2"/>
        <v>SEHST</v>
      </c>
    </row>
    <row r="227" spans="1:5" x14ac:dyDescent="0.25">
      <c r="A227" s="8" t="s">
        <v>304</v>
      </c>
      <c r="B227" s="15" t="str">
        <f t="shared" si="0"/>
        <v>NEHST</v>
      </c>
      <c r="C227" s="15" t="str">
        <f t="shared" si="1"/>
        <v>CLEVELAND -    NEHST</v>
      </c>
      <c r="D227" s="17" t="s">
        <v>303</v>
      </c>
      <c r="E227" t="str">
        <f t="shared" si="2"/>
        <v>NEHST</v>
      </c>
    </row>
    <row r="228" spans="1:5" x14ac:dyDescent="0.25">
      <c r="A228" s="8" t="s">
        <v>311</v>
      </c>
      <c r="B228" s="15" t="str">
        <f t="shared" si="0"/>
        <v>SEHST</v>
      </c>
      <c r="C228" s="15" t="str">
        <f t="shared" si="1"/>
        <v>CLUTE -    SEHST</v>
      </c>
      <c r="D228" s="17" t="s">
        <v>310</v>
      </c>
      <c r="E228" t="str">
        <f t="shared" si="2"/>
        <v>SEHST</v>
      </c>
    </row>
    <row r="229" spans="1:5" x14ac:dyDescent="0.25">
      <c r="A229" s="8" t="s">
        <v>318</v>
      </c>
      <c r="B229" s="15" t="str">
        <f t="shared" si="0"/>
        <v>SWHST</v>
      </c>
      <c r="C229" s="15" t="str">
        <f t="shared" si="1"/>
        <v>COLUMBUS -    SWHST</v>
      </c>
      <c r="D229" s="17" t="s">
        <v>317</v>
      </c>
      <c r="E229" t="str">
        <f t="shared" si="2"/>
        <v>SWHST</v>
      </c>
    </row>
    <row r="230" spans="1:5" x14ac:dyDescent="0.25">
      <c r="A230" s="8" t="s">
        <v>325</v>
      </c>
      <c r="B230" s="15" t="str">
        <f t="shared" si="0"/>
        <v>NEHST</v>
      </c>
      <c r="C230" s="15" t="str">
        <f t="shared" si="1"/>
        <v>CORRIGAN -    NEHST</v>
      </c>
      <c r="D230" s="17" t="s">
        <v>324</v>
      </c>
      <c r="E230" t="str">
        <f t="shared" si="2"/>
        <v>NEHST</v>
      </c>
    </row>
    <row r="231" spans="1:5" x14ac:dyDescent="0.25">
      <c r="A231" s="8" t="s">
        <v>349</v>
      </c>
      <c r="B231" s="15" t="str">
        <f t="shared" si="0"/>
        <v>NWHST</v>
      </c>
      <c r="C231" s="15" t="str">
        <f t="shared" si="1"/>
        <v>CYPRESS-    NWHST</v>
      </c>
      <c r="D231" s="17" t="s">
        <v>348</v>
      </c>
      <c r="E231" t="str">
        <f t="shared" si="2"/>
        <v>NWHST</v>
      </c>
    </row>
    <row r="232" spans="1:5" x14ac:dyDescent="0.25">
      <c r="A232" s="8" t="s">
        <v>355</v>
      </c>
      <c r="B232" s="15" t="str">
        <f t="shared" si="0"/>
        <v>SEHST</v>
      </c>
      <c r="C232" s="15" t="str">
        <f t="shared" si="1"/>
        <v>DANBURY-    SEHST</v>
      </c>
      <c r="D232" s="17" t="s">
        <v>354</v>
      </c>
      <c r="E232" t="str">
        <f t="shared" si="2"/>
        <v>SEHST</v>
      </c>
    </row>
    <row r="233" spans="1:5" x14ac:dyDescent="0.25">
      <c r="A233" s="8" t="s">
        <v>362</v>
      </c>
      <c r="B233" s="15" t="str">
        <f t="shared" si="0"/>
        <v>NEHST</v>
      </c>
      <c r="C233" s="15" t="str">
        <f t="shared" si="1"/>
        <v>DAYTON-    NEHST</v>
      </c>
      <c r="D233" s="17" t="s">
        <v>361</v>
      </c>
      <c r="E233" t="str">
        <f t="shared" si="2"/>
        <v>NEHST</v>
      </c>
    </row>
    <row r="234" spans="1:5" x14ac:dyDescent="0.25">
      <c r="A234" s="8" t="s">
        <v>368</v>
      </c>
      <c r="B234" s="15" t="str">
        <f t="shared" si="0"/>
        <v>SEHST</v>
      </c>
      <c r="C234" s="15" t="str">
        <f t="shared" si="1"/>
        <v>DEER PARK-    SEHST</v>
      </c>
      <c r="D234" s="17" t="s">
        <v>367</v>
      </c>
      <c r="E234" t="str">
        <f t="shared" si="2"/>
        <v>SEHST</v>
      </c>
    </row>
    <row r="235" spans="1:5" x14ac:dyDescent="0.25">
      <c r="A235" s="8" t="s">
        <v>380</v>
      </c>
      <c r="B235" s="15" t="str">
        <f t="shared" si="0"/>
        <v>NEHST</v>
      </c>
      <c r="C235" s="15" t="str">
        <f t="shared" si="1"/>
        <v>DEWEYVILLE-    NEHST</v>
      </c>
      <c r="D235" s="17" t="s">
        <v>379</v>
      </c>
      <c r="E235" t="str">
        <f t="shared" si="2"/>
        <v>NEHST</v>
      </c>
    </row>
    <row r="236" spans="1:5" x14ac:dyDescent="0.25">
      <c r="A236" s="8" t="s">
        <v>393</v>
      </c>
      <c r="B236" s="15" t="str">
        <f t="shared" si="0"/>
        <v>SWHST</v>
      </c>
      <c r="C236" s="15" t="str">
        <f t="shared" si="1"/>
        <v>EAGLE LAKE -    SWHST</v>
      </c>
      <c r="D236" s="17" t="s">
        <v>392</v>
      </c>
      <c r="E236" t="str">
        <f t="shared" si="2"/>
        <v>SWHST</v>
      </c>
    </row>
    <row r="237" spans="1:5" x14ac:dyDescent="0.25">
      <c r="A237" s="8" t="s">
        <v>406</v>
      </c>
      <c r="B237" s="15" t="str">
        <f t="shared" si="0"/>
        <v>NEHST</v>
      </c>
      <c r="C237" s="15" t="str">
        <f t="shared" si="1"/>
        <v>EAST HOUSTON -    NEHST</v>
      </c>
      <c r="D237" s="17" t="s">
        <v>405</v>
      </c>
      <c r="E237" t="str">
        <f t="shared" si="2"/>
        <v>NEHST</v>
      </c>
    </row>
    <row r="238" spans="1:5" x14ac:dyDescent="0.25">
      <c r="A238" s="8" t="s">
        <v>430</v>
      </c>
      <c r="B238" s="15" t="str">
        <f t="shared" si="0"/>
        <v>SEHST</v>
      </c>
      <c r="C238" s="15" t="str">
        <f t="shared" si="1"/>
        <v>EL CAMPO -    SEHST</v>
      </c>
      <c r="D238" s="17" t="s">
        <v>429</v>
      </c>
      <c r="E238" t="str">
        <f t="shared" si="2"/>
        <v>SEHST</v>
      </c>
    </row>
    <row r="239" spans="1:5" x14ac:dyDescent="0.25">
      <c r="A239" s="8" t="s">
        <v>437</v>
      </c>
      <c r="B239" s="15" t="str">
        <f t="shared" si="0"/>
        <v>SEHST</v>
      </c>
      <c r="C239" s="15" t="str">
        <f t="shared" si="1"/>
        <v>ELLINGTON EAST -    SEHST</v>
      </c>
      <c r="D239" s="17" t="s">
        <v>436</v>
      </c>
      <c r="E239" t="str">
        <f t="shared" si="2"/>
        <v>SEHST</v>
      </c>
    </row>
    <row r="240" spans="1:5" x14ac:dyDescent="0.25">
      <c r="A240" s="8" t="s">
        <v>444</v>
      </c>
      <c r="B240" s="15" t="str">
        <f t="shared" si="0"/>
        <v>SEHST</v>
      </c>
      <c r="C240" s="15" t="str">
        <f t="shared" si="1"/>
        <v>ELLINGTON WEST -    SEHST</v>
      </c>
      <c r="D240" s="17" t="s">
        <v>443</v>
      </c>
      <c r="E240" t="str">
        <f t="shared" si="2"/>
        <v>SEHST</v>
      </c>
    </row>
    <row r="241" spans="1:5" x14ac:dyDescent="0.25">
      <c r="A241" s="8" t="s">
        <v>456</v>
      </c>
      <c r="B241" s="15" t="str">
        <f t="shared" si="0"/>
        <v>NEHST</v>
      </c>
      <c r="C241" s="15" t="str">
        <f t="shared" si="1"/>
        <v>EVADALE -    NEHST</v>
      </c>
      <c r="D241" s="17" t="s">
        <v>455</v>
      </c>
      <c r="E241" t="str">
        <f t="shared" si="2"/>
        <v>NEHST</v>
      </c>
    </row>
    <row r="242" spans="1:5" x14ac:dyDescent="0.25">
      <c r="A242" s="8" t="s">
        <v>463</v>
      </c>
      <c r="B242" s="15" t="str">
        <f t="shared" si="0"/>
        <v>NWHST</v>
      </c>
      <c r="C242" s="15" t="str">
        <f t="shared" si="1"/>
        <v>FAIRBANKS -    NWHST</v>
      </c>
      <c r="D242" s="17" t="s">
        <v>462</v>
      </c>
      <c r="E242" t="str">
        <f t="shared" si="2"/>
        <v>NWHST</v>
      </c>
    </row>
    <row r="243" spans="1:5" x14ac:dyDescent="0.25">
      <c r="A243" s="8" t="s">
        <v>476</v>
      </c>
      <c r="B243" s="15" t="str">
        <f t="shared" si="0"/>
        <v>NEHST</v>
      </c>
      <c r="C243" s="15" t="str">
        <f t="shared" si="1"/>
        <v>FANNETT -    NEHST</v>
      </c>
      <c r="D243" s="17" t="s">
        <v>475</v>
      </c>
      <c r="E243" t="str">
        <f t="shared" si="2"/>
        <v>NEHST</v>
      </c>
    </row>
    <row r="244" spans="1:5" x14ac:dyDescent="0.25">
      <c r="A244" s="8" t="s">
        <v>495</v>
      </c>
      <c r="B244" s="15" t="str">
        <f t="shared" si="0"/>
        <v>SEHST</v>
      </c>
      <c r="C244" s="15" t="str">
        <f t="shared" si="1"/>
        <v>FREEPORT -    SEHST</v>
      </c>
      <c r="D244" s="17" t="s">
        <v>494</v>
      </c>
      <c r="E244" t="str">
        <f t="shared" si="2"/>
        <v>SEHST</v>
      </c>
    </row>
    <row r="245" spans="1:5" x14ac:dyDescent="0.25">
      <c r="A245" s="11" t="s">
        <v>508</v>
      </c>
      <c r="B245" s="15" t="str">
        <f t="shared" si="0"/>
        <v>SEHST</v>
      </c>
      <c r="C245" s="15" t="str">
        <f t="shared" si="1"/>
        <v>FRIENDSWOOD -    SEHST</v>
      </c>
      <c r="D245" s="17" t="s">
        <v>507</v>
      </c>
      <c r="E245" t="str">
        <f t="shared" si="2"/>
        <v>SEHST</v>
      </c>
    </row>
    <row r="246" spans="1:5" x14ac:dyDescent="0.25">
      <c r="A246" s="8" t="s">
        <v>515</v>
      </c>
      <c r="B246" s="15" t="str">
        <f t="shared" si="0"/>
        <v>SEHST</v>
      </c>
      <c r="C246" s="15" t="str">
        <f t="shared" si="1"/>
        <v>GALVESTON SHERWOOD -    SEHST</v>
      </c>
      <c r="D246" s="17" t="s">
        <v>514</v>
      </c>
      <c r="E246" t="str">
        <f t="shared" si="2"/>
        <v>SEHST</v>
      </c>
    </row>
    <row r="247" spans="1:5" x14ac:dyDescent="0.25">
      <c r="A247" s="8" t="s">
        <v>522</v>
      </c>
      <c r="B247" s="15" t="str">
        <f t="shared" si="0"/>
        <v>SEHST</v>
      </c>
      <c r="C247" s="15" t="str">
        <f t="shared" si="1"/>
        <v>GALVESTON SOUTHFIELD -    SEHST</v>
      </c>
      <c r="D247" s="17" t="s">
        <v>521</v>
      </c>
      <c r="E247" t="str">
        <f t="shared" si="2"/>
        <v>SEHST</v>
      </c>
    </row>
    <row r="248" spans="1:5" x14ac:dyDescent="0.25">
      <c r="A248" s="8" t="s">
        <v>529</v>
      </c>
      <c r="B248" s="15" t="str">
        <f t="shared" si="0"/>
        <v>SEHST</v>
      </c>
      <c r="C248" s="15" t="str">
        <f t="shared" si="1"/>
        <v>GALVESTON WEST ISLAND -    SEHST</v>
      </c>
      <c r="D248" s="17" t="s">
        <v>528</v>
      </c>
      <c r="E248" t="str">
        <f t="shared" si="2"/>
        <v>SEHST</v>
      </c>
    </row>
    <row r="249" spans="1:5" x14ac:dyDescent="0.25">
      <c r="A249" s="8" t="s">
        <v>536</v>
      </c>
      <c r="B249" s="15" t="str">
        <f t="shared" si="0"/>
        <v>SWHST</v>
      </c>
      <c r="C249" s="15" t="str">
        <f t="shared" si="1"/>
        <v>GARWOOD -    SWHST</v>
      </c>
      <c r="D249" s="17" t="s">
        <v>535</v>
      </c>
      <c r="E249" t="str">
        <f t="shared" si="2"/>
        <v>SWHST</v>
      </c>
    </row>
    <row r="250" spans="1:5" x14ac:dyDescent="0.25">
      <c r="A250" s="8" t="s">
        <v>543</v>
      </c>
      <c r="B250" s="15" t="str">
        <f t="shared" si="0"/>
        <v>NEHST</v>
      </c>
      <c r="C250" s="15" t="str">
        <f t="shared" si="1"/>
        <v>GLENDALE -    NEHST</v>
      </c>
      <c r="D250" s="17" t="s">
        <v>542</v>
      </c>
      <c r="E250" t="str">
        <f t="shared" si="2"/>
        <v>NEHST</v>
      </c>
    </row>
    <row r="251" spans="1:5" x14ac:dyDescent="0.25">
      <c r="A251" s="8" t="s">
        <v>556</v>
      </c>
      <c r="B251" s="15" t="str">
        <f t="shared" si="0"/>
        <v>NEHST</v>
      </c>
      <c r="C251" s="15" t="str">
        <f t="shared" ref="C251:C301" si="3">A251&amp;"-    "&amp;B251</f>
        <v>GREENSPOINT -    NEHST</v>
      </c>
      <c r="D251" s="17" t="s">
        <v>555</v>
      </c>
      <c r="E251" t="str">
        <f t="shared" si="2"/>
        <v>NEHST</v>
      </c>
    </row>
    <row r="252" spans="1:5" x14ac:dyDescent="0.25">
      <c r="A252" s="8" t="s">
        <v>563</v>
      </c>
      <c r="B252" s="15" t="str">
        <f t="shared" si="0"/>
        <v>SEHST</v>
      </c>
      <c r="C252" s="15" t="str">
        <f t="shared" si="3"/>
        <v>GREENWOOD -    SEHST</v>
      </c>
      <c r="D252" s="17" t="s">
        <v>562</v>
      </c>
      <c r="E252" t="str">
        <f t="shared" si="2"/>
        <v>SEHST</v>
      </c>
    </row>
    <row r="253" spans="1:5" x14ac:dyDescent="0.25">
      <c r="A253" s="8" t="s">
        <v>588</v>
      </c>
      <c r="B253" s="15" t="str">
        <f t="shared" si="0"/>
        <v>SWHST</v>
      </c>
      <c r="C253" s="15" t="str">
        <f t="shared" si="3"/>
        <v>HEMPSTEAD -    SWHST</v>
      </c>
      <c r="D253" s="17" t="s">
        <v>587</v>
      </c>
      <c r="E253" t="str">
        <f t="shared" si="2"/>
        <v>SWHST</v>
      </c>
    </row>
    <row r="254" spans="1:5" x14ac:dyDescent="0.25">
      <c r="A254" s="8" t="s">
        <v>601</v>
      </c>
      <c r="B254" s="15" t="str">
        <f t="shared" si="0"/>
        <v>SWHST</v>
      </c>
      <c r="C254" s="15" t="str">
        <f t="shared" si="3"/>
        <v>HOMESTEAD -    SWHST</v>
      </c>
      <c r="D254" s="17" t="s">
        <v>600</v>
      </c>
      <c r="E254" t="str">
        <f t="shared" si="2"/>
        <v>SWHST</v>
      </c>
    </row>
    <row r="255" spans="1:5" x14ac:dyDescent="0.25">
      <c r="A255" s="8" t="s">
        <v>614</v>
      </c>
      <c r="B255" s="15" t="str">
        <f t="shared" ref="B255:B306" si="4">INDEX($N$2:$N$198,MATCH(D255,$C$2:$C$198,0))</f>
        <v>SEHST</v>
      </c>
      <c r="C255" s="15" t="str">
        <f t="shared" si="3"/>
        <v>HUDSON -    SEHST</v>
      </c>
      <c r="D255" s="17" t="s">
        <v>613</v>
      </c>
      <c r="E255" t="str">
        <f t="shared" ref="E255:E306" si="5">INDEX($N$2:$N$198,MATCH(D255,$C$2:$C$198,0))</f>
        <v>SEHST</v>
      </c>
    </row>
    <row r="256" spans="1:5" x14ac:dyDescent="0.25">
      <c r="A256" s="8" t="s">
        <v>620</v>
      </c>
      <c r="B256" s="15" t="str">
        <f t="shared" si="4"/>
        <v>NWHST</v>
      </c>
      <c r="C256" s="15" t="str">
        <f t="shared" si="3"/>
        <v>HUNTSVILLE -    NWHST</v>
      </c>
      <c r="D256" s="17" t="s">
        <v>619</v>
      </c>
      <c r="E256" t="str">
        <f t="shared" si="5"/>
        <v>NWHST</v>
      </c>
    </row>
    <row r="257" spans="1:5" x14ac:dyDescent="0.25">
      <c r="A257" s="8" t="s">
        <v>626</v>
      </c>
      <c r="B257" s="15" t="str">
        <f t="shared" si="4"/>
        <v>SWHST</v>
      </c>
      <c r="C257" s="15" t="str">
        <f t="shared" si="3"/>
        <v>IDLEWOOD -    SWHST</v>
      </c>
      <c r="D257" s="17" t="s">
        <v>190</v>
      </c>
      <c r="E257" t="str">
        <f t="shared" si="5"/>
        <v>SWHST</v>
      </c>
    </row>
    <row r="258" spans="1:5" x14ac:dyDescent="0.25">
      <c r="A258" s="8" t="s">
        <v>629</v>
      </c>
      <c r="B258" s="15" t="str">
        <f t="shared" si="4"/>
        <v>SEHST</v>
      </c>
      <c r="C258" s="15" t="str">
        <f t="shared" si="3"/>
        <v>JACKSON -    SEHST</v>
      </c>
      <c r="D258" s="17" t="s">
        <v>628</v>
      </c>
      <c r="E258" t="str">
        <f t="shared" si="5"/>
        <v>SEHST</v>
      </c>
    </row>
    <row r="259" spans="1:5" x14ac:dyDescent="0.25">
      <c r="A259" s="8" t="s">
        <v>636</v>
      </c>
      <c r="B259" s="15" t="str">
        <f t="shared" si="4"/>
        <v>NEHST</v>
      </c>
      <c r="C259" s="15" t="str">
        <f t="shared" si="3"/>
        <v>JASPER DUDLEY -    NEHST</v>
      </c>
      <c r="D259" s="17" t="s">
        <v>635</v>
      </c>
      <c r="E259" t="str">
        <f t="shared" si="5"/>
        <v>NEHST</v>
      </c>
    </row>
    <row r="260" spans="1:5" x14ac:dyDescent="0.25">
      <c r="A260" s="8" t="s">
        <v>643</v>
      </c>
      <c r="B260" s="15" t="str">
        <f t="shared" si="4"/>
        <v>NEHST</v>
      </c>
      <c r="C260" s="15" t="str">
        <f t="shared" si="3"/>
        <v>JASPER RAYBURN -    NEHST</v>
      </c>
      <c r="D260" s="17" t="s">
        <v>642</v>
      </c>
      <c r="E260" t="str">
        <f t="shared" si="5"/>
        <v>NEHST</v>
      </c>
    </row>
    <row r="261" spans="1:5" x14ac:dyDescent="0.25">
      <c r="A261" s="8" t="s">
        <v>649</v>
      </c>
      <c r="B261" s="15" t="str">
        <f t="shared" si="4"/>
        <v>NWHST</v>
      </c>
      <c r="C261" s="15" t="str">
        <f t="shared" si="3"/>
        <v>JERSEY VILLAGE-    NWHST</v>
      </c>
      <c r="D261" s="17" t="s">
        <v>462</v>
      </c>
      <c r="E261" t="str">
        <f t="shared" si="5"/>
        <v>NWHST</v>
      </c>
    </row>
    <row r="262" spans="1:5" x14ac:dyDescent="0.25">
      <c r="A262" s="8" t="s">
        <v>658</v>
      </c>
      <c r="B262" s="15" t="str">
        <f t="shared" si="4"/>
        <v>NEHST</v>
      </c>
      <c r="C262" s="15" t="str">
        <f t="shared" si="3"/>
        <v>KIRBYVILLE -    NEHST</v>
      </c>
      <c r="D262" s="17" t="s">
        <v>657</v>
      </c>
      <c r="E262" t="str">
        <f t="shared" si="5"/>
        <v>NEHST</v>
      </c>
    </row>
    <row r="263" spans="1:5" x14ac:dyDescent="0.25">
      <c r="A263" s="8" t="s">
        <v>665</v>
      </c>
      <c r="B263" s="15" t="str">
        <f t="shared" si="4"/>
        <v>NWHST</v>
      </c>
      <c r="C263" s="15" t="str">
        <f t="shared" si="3"/>
        <v>KLEIN -    NWHST</v>
      </c>
      <c r="D263" s="17" t="s">
        <v>664</v>
      </c>
      <c r="E263" t="str">
        <f t="shared" si="5"/>
        <v>NWHST</v>
      </c>
    </row>
    <row r="264" spans="1:5" x14ac:dyDescent="0.25">
      <c r="A264" s="8" t="s">
        <v>672</v>
      </c>
      <c r="B264" s="15" t="str">
        <f t="shared" si="4"/>
        <v>NEHST</v>
      </c>
      <c r="C264" s="15" t="str">
        <f t="shared" si="3"/>
        <v>KOUNTZE -    NEHST</v>
      </c>
      <c r="D264" s="17" t="s">
        <v>671</v>
      </c>
      <c r="E264" t="str">
        <f t="shared" si="5"/>
        <v>NEHST</v>
      </c>
    </row>
    <row r="265" spans="1:5" x14ac:dyDescent="0.25">
      <c r="A265" s="8" t="s">
        <v>679</v>
      </c>
      <c r="B265" s="15" t="str">
        <f t="shared" si="4"/>
        <v>SEHST</v>
      </c>
      <c r="C265" s="15" t="str">
        <f t="shared" si="3"/>
        <v>LA PORTE -    SEHST</v>
      </c>
      <c r="D265" s="17" t="s">
        <v>678</v>
      </c>
      <c r="E265" t="str">
        <f t="shared" si="5"/>
        <v>SEHST</v>
      </c>
    </row>
    <row r="266" spans="1:5" x14ac:dyDescent="0.25">
      <c r="A266" s="8" t="s">
        <v>691</v>
      </c>
      <c r="B266" s="15" t="str">
        <f t="shared" si="4"/>
        <v>NEHST</v>
      </c>
      <c r="C266" s="15" t="str">
        <f t="shared" si="3"/>
        <v>LABELLE -    NEHST</v>
      </c>
      <c r="D266" s="17" t="s">
        <v>690</v>
      </c>
      <c r="E266" t="str">
        <f t="shared" si="5"/>
        <v>NEHST</v>
      </c>
    </row>
    <row r="267" spans="1:5" x14ac:dyDescent="0.25">
      <c r="A267" s="8" t="s">
        <v>698</v>
      </c>
      <c r="B267" s="15" t="str">
        <f t="shared" si="4"/>
        <v>NEHST</v>
      </c>
      <c r="C267" s="15" t="str">
        <f t="shared" si="3"/>
        <v>LAKE HOUSTON -    NEHST</v>
      </c>
      <c r="D267" s="17" t="s">
        <v>697</v>
      </c>
      <c r="E267" t="str">
        <f t="shared" si="5"/>
        <v>NEHST</v>
      </c>
    </row>
    <row r="268" spans="1:5" x14ac:dyDescent="0.25">
      <c r="A268" s="8" t="s">
        <v>702</v>
      </c>
      <c r="B268" s="15" t="str">
        <f t="shared" si="4"/>
        <v>SEHST</v>
      </c>
      <c r="C268" s="15" t="str">
        <f t="shared" si="3"/>
        <v>LAKE JACKSON -    SEHST</v>
      </c>
      <c r="D268" s="17" t="s">
        <v>701</v>
      </c>
      <c r="E268" t="str">
        <f t="shared" si="5"/>
        <v>SEHST</v>
      </c>
    </row>
    <row r="269" spans="1:5" x14ac:dyDescent="0.25">
      <c r="A269" s="8" t="s">
        <v>709</v>
      </c>
      <c r="B269" s="15" t="str">
        <f t="shared" si="4"/>
        <v>SEHST</v>
      </c>
      <c r="C269" s="15" t="str">
        <f t="shared" si="3"/>
        <v>LAMARQUE -    SEHST</v>
      </c>
      <c r="D269" s="17" t="s">
        <v>708</v>
      </c>
      <c r="E269" t="str">
        <f t="shared" si="5"/>
        <v>SEHST</v>
      </c>
    </row>
    <row r="270" spans="1:5" x14ac:dyDescent="0.25">
      <c r="A270" s="8" t="s">
        <v>716</v>
      </c>
      <c r="B270" s="15" t="str">
        <f t="shared" si="4"/>
        <v>NWHST</v>
      </c>
      <c r="C270" s="15" t="str">
        <f t="shared" si="3"/>
        <v>LANGHAM CREEK -    NWHST</v>
      </c>
      <c r="D270" s="17" t="s">
        <v>715</v>
      </c>
      <c r="E270" t="str">
        <f t="shared" si="5"/>
        <v>NWHST</v>
      </c>
    </row>
    <row r="271" spans="1:5" x14ac:dyDescent="0.25">
      <c r="A271" s="8" t="s">
        <v>729</v>
      </c>
      <c r="B271" s="15" t="str">
        <f t="shared" si="4"/>
        <v>NEHST</v>
      </c>
      <c r="C271" s="15" t="str">
        <f t="shared" si="3"/>
        <v>LIBERTY -    NEHST</v>
      </c>
      <c r="D271" s="17" t="s">
        <v>728</v>
      </c>
      <c r="E271" t="str">
        <f t="shared" si="5"/>
        <v>NEHST</v>
      </c>
    </row>
    <row r="272" spans="1:5" x14ac:dyDescent="0.25">
      <c r="A272" s="8" t="s">
        <v>743</v>
      </c>
      <c r="B272" s="15" t="str">
        <f t="shared" si="4"/>
        <v>SEHST</v>
      </c>
      <c r="C272" s="15" t="str">
        <f t="shared" si="3"/>
        <v>LIVERPOOL -    SEHST</v>
      </c>
      <c r="D272" s="17" t="s">
        <v>742</v>
      </c>
      <c r="E272" t="str">
        <f t="shared" si="5"/>
        <v>SEHST</v>
      </c>
    </row>
    <row r="273" spans="1:5" x14ac:dyDescent="0.25">
      <c r="A273" s="8" t="s">
        <v>752</v>
      </c>
      <c r="B273" s="15" t="str">
        <f t="shared" si="4"/>
        <v>NEHST</v>
      </c>
      <c r="C273" s="15" t="str">
        <f t="shared" si="3"/>
        <v>LUMBERTON -    NEHST</v>
      </c>
      <c r="D273" s="17" t="s">
        <v>751</v>
      </c>
      <c r="E273" t="str">
        <f t="shared" si="5"/>
        <v>NEHST</v>
      </c>
    </row>
    <row r="274" spans="1:5" x14ac:dyDescent="0.25">
      <c r="A274" s="8" t="s">
        <v>759</v>
      </c>
      <c r="B274" s="15" t="str">
        <f t="shared" si="4"/>
        <v>NWHST</v>
      </c>
      <c r="C274" s="15" t="str">
        <f t="shared" si="3"/>
        <v>MADISONVILLE -    NWHST</v>
      </c>
      <c r="D274" s="17" t="s">
        <v>758</v>
      </c>
      <c r="E274" t="str">
        <f t="shared" si="5"/>
        <v>NWHST</v>
      </c>
    </row>
    <row r="275" spans="1:5" x14ac:dyDescent="0.25">
      <c r="A275" s="8" t="s">
        <v>766</v>
      </c>
      <c r="B275" s="15" t="str">
        <f t="shared" si="4"/>
        <v>SEHST</v>
      </c>
      <c r="C275" s="15" t="str">
        <f t="shared" si="3"/>
        <v>MANVEL -    SEHST</v>
      </c>
      <c r="D275" s="17" t="s">
        <v>765</v>
      </c>
      <c r="E275" t="str">
        <f t="shared" si="5"/>
        <v>SEHST</v>
      </c>
    </row>
    <row r="276" spans="1:5" x14ac:dyDescent="0.25">
      <c r="A276" s="8" t="s">
        <v>773</v>
      </c>
      <c r="B276" s="15" t="str">
        <f t="shared" si="4"/>
        <v>SEHST</v>
      </c>
      <c r="C276" s="15" t="str">
        <f t="shared" si="3"/>
        <v>MATAGORDA -    SEHST</v>
      </c>
      <c r="D276" s="17" t="s">
        <v>772</v>
      </c>
      <c r="E276" t="str">
        <f t="shared" si="5"/>
        <v>SEHST</v>
      </c>
    </row>
    <row r="277" spans="1:5" x14ac:dyDescent="0.25">
      <c r="A277" s="8" t="s">
        <v>786</v>
      </c>
      <c r="B277" s="15" t="str">
        <f t="shared" si="4"/>
        <v>NEHST</v>
      </c>
      <c r="C277" s="15" t="str">
        <f t="shared" si="3"/>
        <v>MAURICEVILLE -    NEHST</v>
      </c>
      <c r="D277" s="17" t="s">
        <v>785</v>
      </c>
      <c r="E277" t="str">
        <f t="shared" si="5"/>
        <v>NEHST</v>
      </c>
    </row>
    <row r="278" spans="1:5" x14ac:dyDescent="0.25">
      <c r="A278" s="8" t="s">
        <v>800</v>
      </c>
      <c r="B278" s="15" t="str">
        <f t="shared" si="4"/>
        <v>SEHST</v>
      </c>
      <c r="C278" s="15" t="str">
        <f t="shared" si="3"/>
        <v>MEDICAL CENTER -    SEHST</v>
      </c>
      <c r="D278" s="17" t="s">
        <v>799</v>
      </c>
      <c r="E278" t="str">
        <f t="shared" si="5"/>
        <v>SEHST</v>
      </c>
    </row>
    <row r="279" spans="1:5" x14ac:dyDescent="0.25">
      <c r="A279" s="8" t="s">
        <v>812</v>
      </c>
      <c r="B279" s="15" t="str">
        <f t="shared" si="4"/>
        <v>SEHST</v>
      </c>
      <c r="C279" s="15" t="str">
        <f t="shared" si="3"/>
        <v>MISSION -    SEHST</v>
      </c>
      <c r="D279" s="17" t="s">
        <v>811</v>
      </c>
      <c r="E279" t="str">
        <f t="shared" si="5"/>
        <v>SEHST</v>
      </c>
    </row>
    <row r="280" spans="1:5" x14ac:dyDescent="0.25">
      <c r="A280" s="8" t="s">
        <v>825</v>
      </c>
      <c r="B280" s="15" t="str">
        <f t="shared" si="4"/>
        <v>SWHST</v>
      </c>
      <c r="C280" s="15" t="str">
        <f t="shared" si="3"/>
        <v>MOHAWK -    SWHST</v>
      </c>
      <c r="D280" s="17" t="s">
        <v>824</v>
      </c>
      <c r="E280" t="str">
        <f t="shared" si="5"/>
        <v>SWHST</v>
      </c>
    </row>
    <row r="281" spans="1:5" x14ac:dyDescent="0.25">
      <c r="A281" s="8" t="s">
        <v>837</v>
      </c>
      <c r="B281" s="15" t="str">
        <f t="shared" si="4"/>
        <v>SWHST</v>
      </c>
      <c r="C281" s="15" t="str">
        <f t="shared" si="3"/>
        <v>NATIONAL -    SWHST</v>
      </c>
      <c r="D281" s="17" t="s">
        <v>836</v>
      </c>
      <c r="E281" t="str">
        <f t="shared" si="5"/>
        <v>SWHST</v>
      </c>
    </row>
    <row r="282" spans="1:5" x14ac:dyDescent="0.25">
      <c r="A282" s="8" t="s">
        <v>844</v>
      </c>
      <c r="B282" s="15" t="str">
        <f t="shared" si="4"/>
        <v>NEHST</v>
      </c>
      <c r="C282" s="15" t="str">
        <f t="shared" si="3"/>
        <v>NEDERLAND -    NEHST</v>
      </c>
      <c r="D282" s="17" t="s">
        <v>843</v>
      </c>
      <c r="E282" t="str">
        <f t="shared" si="5"/>
        <v>NEHST</v>
      </c>
    </row>
    <row r="283" spans="1:5" x14ac:dyDescent="0.25">
      <c r="A283" s="8" t="s">
        <v>851</v>
      </c>
      <c r="B283" s="15" t="str">
        <f t="shared" si="4"/>
        <v>NEHST</v>
      </c>
      <c r="C283" s="15" t="str">
        <f t="shared" si="3"/>
        <v>NEPTUNE -    NEHST</v>
      </c>
      <c r="D283" s="17" t="s">
        <v>850</v>
      </c>
      <c r="E283" t="str">
        <f t="shared" si="5"/>
        <v>NEHST</v>
      </c>
    </row>
    <row r="284" spans="1:5" x14ac:dyDescent="0.25">
      <c r="A284" s="8" t="s">
        <v>870</v>
      </c>
      <c r="B284" s="15" t="str">
        <f t="shared" si="4"/>
        <v>NEHST</v>
      </c>
      <c r="C284" s="15" t="str">
        <f t="shared" si="3"/>
        <v>ORANGE -    NEHST</v>
      </c>
      <c r="D284" s="17" t="s">
        <v>869</v>
      </c>
      <c r="E284" t="str">
        <f t="shared" si="5"/>
        <v>NEHST</v>
      </c>
    </row>
    <row r="285" spans="1:5" x14ac:dyDescent="0.25">
      <c r="A285" s="8" t="s">
        <v>877</v>
      </c>
      <c r="B285" s="15" t="str">
        <f t="shared" si="4"/>
        <v>NEHST</v>
      </c>
      <c r="C285" s="15" t="str">
        <f t="shared" si="3"/>
        <v>ORCHARD -    NEHST</v>
      </c>
      <c r="D285" s="17" t="s">
        <v>876</v>
      </c>
      <c r="E285" t="str">
        <f t="shared" si="5"/>
        <v>NEHST</v>
      </c>
    </row>
    <row r="286" spans="1:5" x14ac:dyDescent="0.25">
      <c r="A286" s="8" t="s">
        <v>884</v>
      </c>
      <c r="B286" s="15" t="str">
        <f t="shared" si="4"/>
        <v>NWHST</v>
      </c>
      <c r="C286" s="15" t="str">
        <f t="shared" si="3"/>
        <v>OVERLAND -    NWHST</v>
      </c>
      <c r="D286" s="17" t="s">
        <v>883</v>
      </c>
      <c r="E286" t="str">
        <f t="shared" si="5"/>
        <v>NWHST</v>
      </c>
    </row>
    <row r="287" spans="1:5" x14ac:dyDescent="0.25">
      <c r="A287" s="8" t="s">
        <v>891</v>
      </c>
      <c r="B287" s="15" t="str">
        <f t="shared" si="4"/>
        <v>NEHST</v>
      </c>
      <c r="C287" s="15" t="str">
        <f t="shared" si="3"/>
        <v>OXFORD -    NEHST</v>
      </c>
      <c r="D287" s="17" t="s">
        <v>890</v>
      </c>
      <c r="E287" t="str">
        <f t="shared" si="5"/>
        <v>NEHST</v>
      </c>
    </row>
    <row r="288" spans="1:5" x14ac:dyDescent="0.25">
      <c r="A288" s="8" t="s">
        <v>904</v>
      </c>
      <c r="B288" s="15" t="str">
        <f t="shared" si="4"/>
        <v>SWHST</v>
      </c>
      <c r="C288" s="15" t="str">
        <f t="shared" si="3"/>
        <v>PARKVIEW -    SWHST</v>
      </c>
      <c r="D288" s="17" t="s">
        <v>903</v>
      </c>
      <c r="E288" t="str">
        <f t="shared" si="5"/>
        <v>SWHST</v>
      </c>
    </row>
    <row r="289" spans="1:5" x14ac:dyDescent="0.25">
      <c r="A289" s="8" t="s">
        <v>911</v>
      </c>
      <c r="B289" s="15" t="str">
        <f t="shared" si="4"/>
        <v>SEHST</v>
      </c>
      <c r="C289" s="15" t="str">
        <f t="shared" si="3"/>
        <v>PEARLAND -    SEHST</v>
      </c>
      <c r="D289" s="17" t="s">
        <v>910</v>
      </c>
      <c r="E289" t="str">
        <f t="shared" si="5"/>
        <v>SEHST</v>
      </c>
    </row>
    <row r="290" spans="1:5" x14ac:dyDescent="0.25">
      <c r="A290" s="8" t="s">
        <v>930</v>
      </c>
      <c r="B290" s="15" t="str">
        <f t="shared" si="4"/>
        <v>NWHST</v>
      </c>
      <c r="C290" s="15" t="str">
        <f t="shared" si="3"/>
        <v>PINEHURST-    NWHST</v>
      </c>
      <c r="D290" s="17" t="s">
        <v>929</v>
      </c>
      <c r="E290" t="str">
        <f t="shared" si="5"/>
        <v>NWHST</v>
      </c>
    </row>
    <row r="291" spans="1:5" x14ac:dyDescent="0.25">
      <c r="A291" s="8" t="s">
        <v>936</v>
      </c>
      <c r="B291" s="15" t="str">
        <f t="shared" si="4"/>
        <v>NEHST</v>
      </c>
      <c r="C291" s="15" t="str">
        <f t="shared" si="3"/>
        <v>PORT ARTHUR PERSHING-    NEHST</v>
      </c>
      <c r="D291" s="17" t="s">
        <v>935</v>
      </c>
      <c r="E291" t="str">
        <f t="shared" si="5"/>
        <v>NEHST</v>
      </c>
    </row>
    <row r="292" spans="1:5" x14ac:dyDescent="0.25">
      <c r="A292" s="8" t="s">
        <v>943</v>
      </c>
      <c r="B292" s="15" t="str">
        <f t="shared" si="4"/>
        <v>NEHST</v>
      </c>
      <c r="C292" s="15" t="str">
        <f t="shared" si="3"/>
        <v>PORT ARTHUR WOODLAWN-    NEHST</v>
      </c>
      <c r="D292" s="17" t="s">
        <v>942</v>
      </c>
      <c r="E292" t="str">
        <f t="shared" si="5"/>
        <v>NEHST</v>
      </c>
    </row>
    <row r="293" spans="1:5" x14ac:dyDescent="0.25">
      <c r="A293" s="8" t="s">
        <v>950</v>
      </c>
      <c r="B293" s="15" t="str">
        <f t="shared" si="4"/>
        <v>NEHST</v>
      </c>
      <c r="C293" s="15" t="str">
        <f t="shared" si="3"/>
        <v>PORT ARTHUR YUKON-    NEHST</v>
      </c>
      <c r="D293" s="17" t="s">
        <v>949</v>
      </c>
      <c r="E293" t="str">
        <f t="shared" si="5"/>
        <v>NEHST</v>
      </c>
    </row>
    <row r="294" spans="1:5" x14ac:dyDescent="0.25">
      <c r="A294" s="8" t="s">
        <v>957</v>
      </c>
      <c r="B294" s="15" t="str">
        <f t="shared" si="4"/>
        <v>SEHST</v>
      </c>
      <c r="C294" s="15" t="str">
        <f t="shared" si="3"/>
        <v>PORT BOLIVAR-    SEHST</v>
      </c>
      <c r="D294" s="17" t="s">
        <v>956</v>
      </c>
      <c r="E294" t="str">
        <f t="shared" si="5"/>
        <v>SEHST</v>
      </c>
    </row>
    <row r="295" spans="1:5" x14ac:dyDescent="0.25">
      <c r="A295" s="8" t="s">
        <v>965</v>
      </c>
      <c r="B295" s="15" t="str">
        <f t="shared" si="4"/>
        <v>SWHST</v>
      </c>
      <c r="C295" s="15" t="str">
        <f t="shared" si="3"/>
        <v>PRAIRIE VIEW-    SWHST</v>
      </c>
      <c r="D295" s="17" t="s">
        <v>964</v>
      </c>
      <c r="E295" t="str">
        <f t="shared" si="5"/>
        <v>SWHST</v>
      </c>
    </row>
    <row r="296" spans="1:5" x14ac:dyDescent="0.25">
      <c r="A296" s="8" t="s">
        <v>971</v>
      </c>
      <c r="B296" s="15" t="str">
        <f t="shared" si="4"/>
        <v>SWHST</v>
      </c>
      <c r="C296" s="15" t="str">
        <f t="shared" si="3"/>
        <v>PRESCOTT-    SWHST</v>
      </c>
      <c r="D296" s="17" t="s">
        <v>970</v>
      </c>
      <c r="E296" t="str">
        <f t="shared" si="5"/>
        <v>SWHST</v>
      </c>
    </row>
    <row r="297" spans="1:5" x14ac:dyDescent="0.25">
      <c r="A297" s="8" t="s">
        <v>985</v>
      </c>
      <c r="B297" s="15" t="str">
        <f t="shared" si="4"/>
        <v>SEHST</v>
      </c>
      <c r="C297" s="15" t="str">
        <f t="shared" si="3"/>
        <v>REPUBLIC-    SEHST</v>
      </c>
      <c r="D297" s="17" t="s">
        <v>984</v>
      </c>
      <c r="E297" t="str">
        <f t="shared" si="5"/>
        <v>SEHST</v>
      </c>
    </row>
    <row r="298" spans="1:5" x14ac:dyDescent="0.25">
      <c r="A298" s="8" t="s">
        <v>991</v>
      </c>
      <c r="B298" s="15" t="str">
        <f t="shared" si="4"/>
        <v>SWHST</v>
      </c>
      <c r="C298" s="15" t="str">
        <f t="shared" si="3"/>
        <v>RICH-ROSE-    SWHST</v>
      </c>
      <c r="D298" s="17" t="s">
        <v>990</v>
      </c>
      <c r="E298" t="str">
        <f t="shared" si="5"/>
        <v>SWHST</v>
      </c>
    </row>
    <row r="299" spans="1:5" x14ac:dyDescent="0.25">
      <c r="A299" s="8" t="s">
        <v>1004</v>
      </c>
      <c r="B299" s="15" t="str">
        <f t="shared" si="4"/>
        <v>SEHST</v>
      </c>
      <c r="C299" s="15" t="str">
        <f t="shared" si="3"/>
        <v>RIVERSIDE-    SEHST</v>
      </c>
      <c r="D299" s="17" t="s">
        <v>1003</v>
      </c>
      <c r="E299" t="str">
        <f t="shared" si="5"/>
        <v>SEHST</v>
      </c>
    </row>
    <row r="300" spans="1:5" x14ac:dyDescent="0.25">
      <c r="A300" s="8" t="s">
        <v>1022</v>
      </c>
      <c r="B300" s="15" t="str">
        <f t="shared" si="4"/>
        <v>NEHST</v>
      </c>
      <c r="C300" s="15" t="str">
        <f t="shared" si="3"/>
        <v>SABINE PASS-    NEHST</v>
      </c>
      <c r="D300" s="17" t="s">
        <v>1021</v>
      </c>
      <c r="E300" t="str">
        <f t="shared" si="5"/>
        <v>NEHST</v>
      </c>
    </row>
    <row r="301" spans="1:5" x14ac:dyDescent="0.25">
      <c r="A301" s="8" t="s">
        <v>1040</v>
      </c>
      <c r="B301" s="15" t="str">
        <f t="shared" si="4"/>
        <v>NWHST</v>
      </c>
      <c r="C301" s="15" t="str">
        <f t="shared" si="3"/>
        <v>SATSUMA-    NWHST</v>
      </c>
      <c r="D301" s="17" t="s">
        <v>1039</v>
      </c>
      <c r="E301" t="str">
        <f t="shared" si="5"/>
        <v>NWHST</v>
      </c>
    </row>
    <row r="302" spans="1:5" x14ac:dyDescent="0.25">
      <c r="A302" s="8" t="s">
        <v>1046</v>
      </c>
      <c r="B302" s="15" t="str">
        <f t="shared" si="4"/>
        <v>SEHST</v>
      </c>
      <c r="C302" s="15" t="str">
        <f t="shared" ref="C302:C328" si="6">A302&amp;"-    "&amp;B302</f>
        <v>SEABROOK-    SEHST</v>
      </c>
      <c r="D302" s="17" t="s">
        <v>1045</v>
      </c>
      <c r="E302" t="str">
        <f t="shared" si="5"/>
        <v>SEHST</v>
      </c>
    </row>
    <row r="303" spans="1:5" x14ac:dyDescent="0.25">
      <c r="A303" s="8" t="s">
        <v>1051</v>
      </c>
      <c r="B303" s="15" t="str">
        <f t="shared" si="4"/>
        <v>SWHST</v>
      </c>
      <c r="C303" s="15" t="str">
        <f t="shared" si="6"/>
        <v>SEALY-    SWHST</v>
      </c>
      <c r="D303" s="17" t="s">
        <v>1050</v>
      </c>
      <c r="E303" t="str">
        <f t="shared" si="5"/>
        <v>SWHST</v>
      </c>
    </row>
    <row r="304" spans="1:5" x14ac:dyDescent="0.25">
      <c r="A304" s="8" t="s">
        <v>1057</v>
      </c>
      <c r="B304" s="15" t="str">
        <f t="shared" si="4"/>
        <v>NEHST</v>
      </c>
      <c r="C304" s="15" t="str">
        <f t="shared" si="6"/>
        <v>SHELDON-    NEHST</v>
      </c>
      <c r="D304" s="17" t="s">
        <v>1056</v>
      </c>
      <c r="E304" t="str">
        <f t="shared" si="5"/>
        <v>NEHST</v>
      </c>
    </row>
    <row r="305" spans="1:5" x14ac:dyDescent="0.25">
      <c r="A305" s="8" t="s">
        <v>1069</v>
      </c>
      <c r="B305" s="15" t="str">
        <f t="shared" si="4"/>
        <v>NEHST</v>
      </c>
      <c r="C305" s="15" t="str">
        <f t="shared" si="6"/>
        <v>SILSBEE-    NEHST</v>
      </c>
      <c r="D305" s="17" t="s">
        <v>1068</v>
      </c>
      <c r="E305" t="str">
        <f t="shared" si="5"/>
        <v>NEHST</v>
      </c>
    </row>
    <row r="306" spans="1:5" x14ac:dyDescent="0.25">
      <c r="A306" s="8" t="s">
        <v>1086</v>
      </c>
      <c r="B306" s="15" t="str">
        <f t="shared" si="4"/>
        <v>SWHST</v>
      </c>
      <c r="C306" s="15" t="str">
        <f t="shared" si="6"/>
        <v>SMITHERS LAKE -    SWHST</v>
      </c>
      <c r="D306" s="17" t="s">
        <v>1085</v>
      </c>
      <c r="E306" t="str">
        <f t="shared" si="5"/>
        <v>SWHST</v>
      </c>
    </row>
    <row r="307" spans="1:5" x14ac:dyDescent="0.25">
      <c r="A307" s="8" t="s">
        <v>1092</v>
      </c>
      <c r="B307" s="15" t="str">
        <f t="shared" ref="B307:B328" si="7">INDEX($N$2:$N$198,MATCH(D307,$C$2:$C$198,0))</f>
        <v>NEHST</v>
      </c>
      <c r="C307" s="15" t="str">
        <f t="shared" si="6"/>
        <v>SOUR LAKE -    NEHST</v>
      </c>
      <c r="D307" s="17" t="s">
        <v>1091</v>
      </c>
      <c r="E307" t="str">
        <f t="shared" ref="E307:E328" si="8">INDEX($N$2:$N$198,MATCH(D307,$C$2:$C$198,0))</f>
        <v>NEHST</v>
      </c>
    </row>
    <row r="308" spans="1:5" x14ac:dyDescent="0.25">
      <c r="A308" s="8" t="s">
        <v>1103</v>
      </c>
      <c r="B308" s="15" t="str">
        <f t="shared" si="7"/>
        <v>NEHST</v>
      </c>
      <c r="C308" s="15" t="str">
        <f t="shared" si="6"/>
        <v>SPLENDORA-    NEHST</v>
      </c>
      <c r="D308" s="17" t="s">
        <v>1102</v>
      </c>
      <c r="E308" t="str">
        <f t="shared" si="8"/>
        <v>NEHST</v>
      </c>
    </row>
    <row r="309" spans="1:5" x14ac:dyDescent="0.25">
      <c r="A309" s="8" t="s">
        <v>1108</v>
      </c>
      <c r="B309" s="15" t="str">
        <f t="shared" si="7"/>
        <v>NWHST</v>
      </c>
      <c r="C309" s="15" t="str">
        <f t="shared" si="6"/>
        <v>SPRING NORTH-    NWHST</v>
      </c>
      <c r="D309" s="17" t="s">
        <v>1107</v>
      </c>
      <c r="E309" t="str">
        <f t="shared" si="8"/>
        <v>NWHST</v>
      </c>
    </row>
    <row r="310" spans="1:5" x14ac:dyDescent="0.25">
      <c r="A310" s="8" t="s">
        <v>1114</v>
      </c>
      <c r="B310" s="15" t="str">
        <f t="shared" si="7"/>
        <v>NWHST</v>
      </c>
      <c r="C310" s="15" t="str">
        <f t="shared" si="6"/>
        <v>SPRING SOUTH-    NWHST</v>
      </c>
      <c r="D310" s="17" t="s">
        <v>1113</v>
      </c>
      <c r="E310" t="str">
        <f t="shared" si="8"/>
        <v>NWHST</v>
      </c>
    </row>
    <row r="311" spans="1:5" x14ac:dyDescent="0.25">
      <c r="A311" s="8" t="s">
        <v>1120</v>
      </c>
      <c r="B311" s="15" t="str">
        <f t="shared" si="7"/>
        <v>NEHST</v>
      </c>
      <c r="C311" s="15" t="str">
        <f t="shared" si="6"/>
        <v>SPURGER-    NEHST</v>
      </c>
      <c r="D311" s="17" t="s">
        <v>1119</v>
      </c>
      <c r="E311" t="str">
        <f t="shared" si="8"/>
        <v>NEHST</v>
      </c>
    </row>
    <row r="312" spans="1:5" x14ac:dyDescent="0.25">
      <c r="A312" s="8" t="s">
        <v>1132</v>
      </c>
      <c r="B312" s="15" t="str">
        <f t="shared" si="7"/>
        <v>SWHST</v>
      </c>
      <c r="C312" s="15" t="str">
        <f t="shared" si="6"/>
        <v>SUNSET-    SWHST</v>
      </c>
      <c r="D312" s="17" t="s">
        <v>1131</v>
      </c>
      <c r="E312" t="str">
        <f t="shared" si="8"/>
        <v>SWHST</v>
      </c>
    </row>
    <row r="313" spans="1:5" x14ac:dyDescent="0.25">
      <c r="A313" s="8" t="s">
        <v>1137</v>
      </c>
      <c r="B313" s="15" t="str">
        <f t="shared" si="7"/>
        <v>SEHST</v>
      </c>
      <c r="C313" s="15" t="str">
        <f t="shared" si="6"/>
        <v>TEXAS CITY-    SEHST</v>
      </c>
      <c r="D313" s="17" t="s">
        <v>1136</v>
      </c>
      <c r="E313" t="str">
        <f t="shared" si="8"/>
        <v>SEHST</v>
      </c>
    </row>
    <row r="314" spans="1:5" x14ac:dyDescent="0.25">
      <c r="A314" s="8" t="s">
        <v>1143</v>
      </c>
      <c r="B314" s="15" t="str">
        <f t="shared" si="7"/>
        <v>NWHST</v>
      </c>
      <c r="C314" s="15" t="str">
        <f t="shared" si="6"/>
        <v>TOMBALL-    NWHST</v>
      </c>
      <c r="D314" s="17" t="s">
        <v>1142</v>
      </c>
      <c r="E314" t="str">
        <f t="shared" si="8"/>
        <v>NWHST</v>
      </c>
    </row>
    <row r="315" spans="1:5" x14ac:dyDescent="0.25">
      <c r="A315" s="8" t="s">
        <v>1155</v>
      </c>
      <c r="B315" s="15" t="str">
        <f t="shared" si="7"/>
        <v>NWHST</v>
      </c>
      <c r="C315" s="15" t="str">
        <f t="shared" si="6"/>
        <v>UNDERWOOD -    NWHST</v>
      </c>
      <c r="D315" s="17" t="s">
        <v>1154</v>
      </c>
      <c r="E315" t="str">
        <f t="shared" si="8"/>
        <v>NWHST</v>
      </c>
    </row>
    <row r="316" spans="1:5" x14ac:dyDescent="0.25">
      <c r="A316" s="8" t="s">
        <v>1167</v>
      </c>
      <c r="B316" s="15" t="str">
        <f t="shared" si="7"/>
        <v>SWHST</v>
      </c>
      <c r="C316" s="15" t="str">
        <f t="shared" si="6"/>
        <v>VALLEY LODGE-    SWHST</v>
      </c>
      <c r="D316" s="17" t="s">
        <v>1166</v>
      </c>
      <c r="E316" t="str">
        <f t="shared" si="8"/>
        <v>SWHST</v>
      </c>
    </row>
    <row r="317" spans="1:5" x14ac:dyDescent="0.25">
      <c r="A317" s="8" t="s">
        <v>1178</v>
      </c>
      <c r="B317" s="15" t="str">
        <f t="shared" si="7"/>
        <v>NEHST</v>
      </c>
      <c r="C317" s="15" t="str">
        <f t="shared" si="6"/>
        <v>VIDOR ROCKWELL-    NEHST</v>
      </c>
      <c r="D317" s="17" t="s">
        <v>1177</v>
      </c>
      <c r="E317" t="str">
        <f t="shared" si="8"/>
        <v>NEHST</v>
      </c>
    </row>
    <row r="318" spans="1:5" x14ac:dyDescent="0.25">
      <c r="A318" s="8" t="s">
        <v>1182</v>
      </c>
      <c r="B318" s="15" t="str">
        <f t="shared" si="7"/>
        <v>NEHST</v>
      </c>
      <c r="C318" s="15" t="str">
        <f t="shared" si="6"/>
        <v>VIDOR SOUTH-    NEHST</v>
      </c>
      <c r="D318" s="17" t="s">
        <v>1177</v>
      </c>
      <c r="E318" t="str">
        <f t="shared" si="8"/>
        <v>NEHST</v>
      </c>
    </row>
    <row r="319" spans="1:5" x14ac:dyDescent="0.25">
      <c r="A319" s="8" t="s">
        <v>1185</v>
      </c>
      <c r="B319" s="15" t="str">
        <f t="shared" si="7"/>
        <v>NEHST</v>
      </c>
      <c r="C319" s="15" t="str">
        <f t="shared" si="6"/>
        <v>VIDOR SUNSET-    NEHST</v>
      </c>
      <c r="D319" s="17" t="s">
        <v>1184</v>
      </c>
      <c r="E319" t="str">
        <f t="shared" si="8"/>
        <v>NEHST</v>
      </c>
    </row>
    <row r="320" spans="1:5" x14ac:dyDescent="0.25">
      <c r="A320" s="8" t="s">
        <v>1191</v>
      </c>
      <c r="B320" s="15" t="str">
        <f t="shared" si="7"/>
        <v>SWHST</v>
      </c>
      <c r="C320" s="15" t="str">
        <f t="shared" si="6"/>
        <v>WALLER-    SWHST</v>
      </c>
      <c r="D320" s="17" t="s">
        <v>1190</v>
      </c>
      <c r="E320" t="str">
        <f t="shared" si="8"/>
        <v>SWHST</v>
      </c>
    </row>
    <row r="321" spans="1:5" x14ac:dyDescent="0.25">
      <c r="A321" s="8" t="s">
        <v>1197</v>
      </c>
      <c r="B321" s="15" t="str">
        <f t="shared" si="7"/>
        <v>SEHST</v>
      </c>
      <c r="C321" s="15" t="str">
        <f t="shared" si="6"/>
        <v>WALNUT-    SEHST</v>
      </c>
      <c r="D321" s="17" t="s">
        <v>1196</v>
      </c>
      <c r="E321" t="str">
        <f t="shared" si="8"/>
        <v>SEHST</v>
      </c>
    </row>
    <row r="322" spans="1:5" x14ac:dyDescent="0.25">
      <c r="A322" s="8" t="s">
        <v>1203</v>
      </c>
      <c r="B322" s="15" t="str">
        <f t="shared" si="7"/>
        <v>NEHST</v>
      </c>
      <c r="C322" s="15" t="str">
        <f t="shared" si="6"/>
        <v>WARREN-    NEHST</v>
      </c>
      <c r="D322" s="17" t="s">
        <v>1202</v>
      </c>
      <c r="E322" t="str">
        <f t="shared" si="8"/>
        <v>NEHST</v>
      </c>
    </row>
    <row r="323" spans="1:5" x14ac:dyDescent="0.25">
      <c r="A323" s="8" t="s">
        <v>1209</v>
      </c>
      <c r="B323" s="15" t="str">
        <f t="shared" si="7"/>
        <v>NEHST</v>
      </c>
      <c r="C323" s="15" t="str">
        <f t="shared" si="6"/>
        <v>WESTBURY-    NEHST</v>
      </c>
      <c r="D323" s="17" t="s">
        <v>1208</v>
      </c>
      <c r="E323" t="str">
        <f t="shared" si="8"/>
        <v>NEHST</v>
      </c>
    </row>
    <row r="324" spans="1:5" x14ac:dyDescent="0.25">
      <c r="A324" s="8" t="s">
        <v>1215</v>
      </c>
      <c r="B324" s="15" t="str">
        <f t="shared" si="7"/>
        <v>NEHST</v>
      </c>
      <c r="C324" s="15" t="str">
        <f t="shared" si="6"/>
        <v>WESTFIELD-    NEHST</v>
      </c>
      <c r="D324" s="17" t="s">
        <v>1214</v>
      </c>
      <c r="E324" t="str">
        <f t="shared" si="8"/>
        <v>NEHST</v>
      </c>
    </row>
    <row r="325" spans="1:5" x14ac:dyDescent="0.25">
      <c r="A325" s="8" t="s">
        <v>1221</v>
      </c>
      <c r="B325" s="15" t="str">
        <f t="shared" si="7"/>
        <v>SEHST</v>
      </c>
      <c r="C325" s="15" t="str">
        <f t="shared" si="6"/>
        <v>WHARTON-    SEHST</v>
      </c>
      <c r="D325" s="17" t="s">
        <v>1220</v>
      </c>
      <c r="E325" t="str">
        <f t="shared" si="8"/>
        <v>SEHST</v>
      </c>
    </row>
    <row r="326" spans="1:5" x14ac:dyDescent="0.25">
      <c r="A326" s="8" t="s">
        <v>1227</v>
      </c>
      <c r="B326" s="15" t="str">
        <f t="shared" si="7"/>
        <v>NEHST</v>
      </c>
      <c r="C326" s="15" t="str">
        <f t="shared" si="6"/>
        <v>WILDWOOD-    NEHST</v>
      </c>
      <c r="D326" s="74" t="s">
        <v>1226</v>
      </c>
      <c r="E326" t="str">
        <f t="shared" si="8"/>
        <v>NEHST</v>
      </c>
    </row>
    <row r="327" spans="1:5" x14ac:dyDescent="0.25">
      <c r="A327" s="8" t="s">
        <v>1238</v>
      </c>
      <c r="B327" s="15" t="str">
        <f t="shared" si="7"/>
        <v>NEHST</v>
      </c>
      <c r="C327" s="15" t="str">
        <f t="shared" si="6"/>
        <v>WOODVILLE-    NEHST</v>
      </c>
      <c r="D327" s="74" t="s">
        <v>1237</v>
      </c>
      <c r="E327" t="str">
        <f t="shared" si="8"/>
        <v>NEHST</v>
      </c>
    </row>
    <row r="328" spans="1:5" x14ac:dyDescent="0.25">
      <c r="A328" s="8" t="s">
        <v>1244</v>
      </c>
      <c r="B328" s="15" t="str">
        <f t="shared" si="7"/>
        <v>SEHST</v>
      </c>
      <c r="C328" s="15" t="str">
        <f t="shared" si="6"/>
        <v>WYDOWN-    SEHST</v>
      </c>
      <c r="D328" s="74" t="s">
        <v>1243</v>
      </c>
      <c r="E328" t="str">
        <f t="shared" si="8"/>
        <v>SEHST</v>
      </c>
    </row>
  </sheetData>
  <autoFilter ref="A1:S198" xr:uid="{00000000-0009-0000-0000-000004000000}">
    <filterColumn colId="18">
      <filters>
        <filter val="HNE"/>
        <filter val="HNW"/>
        <filter val="HSE"/>
        <filter val="HSO"/>
      </filters>
    </filterColumn>
  </autoFilter>
  <mergeCells count="1">
    <mergeCell ref="A201:C201"/>
  </mergeCells>
  <conditionalFormatting sqref="W2:W21">
    <cfRule type="duplicateValues" dxfId="3" priority="3"/>
  </conditionalFormatting>
  <conditionalFormatting sqref="U2:U21">
    <cfRule type="duplicateValues" dxfId="2" priority="4"/>
  </conditionalFormatting>
  <conditionalFormatting sqref="W22:W26">
    <cfRule type="duplicateValues" dxfId="1" priority="1"/>
  </conditionalFormatting>
  <conditionalFormatting sqref="U22:U26">
    <cfRule type="duplicateValues" dxfId="0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71"/>
  <sheetViews>
    <sheetView workbookViewId="0">
      <selection activeCell="F1" sqref="F1"/>
    </sheetView>
  </sheetViews>
  <sheetFormatPr defaultRowHeight="15" x14ac:dyDescent="0.25"/>
  <cols>
    <col min="1" max="1" width="10.85546875" customWidth="1"/>
    <col min="2" max="2" width="11.7109375" bestFit="1" customWidth="1"/>
    <col min="3" max="3" width="90.7109375" customWidth="1"/>
    <col min="4" max="4" width="19.140625" customWidth="1"/>
    <col min="5" max="5" width="9.7109375" customWidth="1"/>
  </cols>
  <sheetData>
    <row r="1" spans="1:5" ht="30" x14ac:dyDescent="0.25">
      <c r="A1" s="44" t="s">
        <v>0</v>
      </c>
      <c r="B1" s="44" t="s">
        <v>1748</v>
      </c>
      <c r="C1" s="43" t="s">
        <v>1</v>
      </c>
      <c r="D1" s="43" t="s">
        <v>2</v>
      </c>
      <c r="E1" s="54" t="s">
        <v>3</v>
      </c>
    </row>
    <row r="2" spans="1:5" x14ac:dyDescent="0.25">
      <c r="A2" s="42" t="s">
        <v>1378</v>
      </c>
      <c r="B2" s="42" t="s">
        <v>1389</v>
      </c>
      <c r="C2" s="42" t="s">
        <v>1379</v>
      </c>
      <c r="D2" s="42" t="s">
        <v>1380</v>
      </c>
      <c r="E2" s="24" t="s">
        <v>1803</v>
      </c>
    </row>
    <row r="3" spans="1:5" x14ac:dyDescent="0.25">
      <c r="A3" s="42" t="s">
        <v>1381</v>
      </c>
      <c r="B3" s="42" t="s">
        <v>1389</v>
      </c>
      <c r="C3" s="42" t="s">
        <v>1382</v>
      </c>
      <c r="D3" s="42" t="s">
        <v>1383</v>
      </c>
      <c r="E3" s="24" t="s">
        <v>1803</v>
      </c>
    </row>
    <row r="4" spans="1:5" x14ac:dyDescent="0.25">
      <c r="A4" s="42" t="s">
        <v>1384</v>
      </c>
      <c r="B4" s="42" t="s">
        <v>1749</v>
      </c>
      <c r="C4" s="42" t="s">
        <v>1385</v>
      </c>
      <c r="D4" s="42" t="s">
        <v>1386</v>
      </c>
      <c r="E4" s="24" t="s">
        <v>1803</v>
      </c>
    </row>
    <row r="5" spans="1:5" x14ac:dyDescent="0.25">
      <c r="A5" s="42" t="s">
        <v>1387</v>
      </c>
      <c r="B5" s="42" t="s">
        <v>1749</v>
      </c>
      <c r="C5" s="42" t="s">
        <v>1388</v>
      </c>
      <c r="D5" s="42" t="s">
        <v>1389</v>
      </c>
      <c r="E5" s="24" t="s">
        <v>1803</v>
      </c>
    </row>
    <row r="6" spans="1:5" x14ac:dyDescent="0.25">
      <c r="A6" s="42" t="s">
        <v>1390</v>
      </c>
      <c r="B6" s="42" t="s">
        <v>1749</v>
      </c>
      <c r="C6" s="42" t="s">
        <v>1391</v>
      </c>
      <c r="D6" s="42" t="s">
        <v>1389</v>
      </c>
      <c r="E6" s="24" t="s">
        <v>1803</v>
      </c>
    </row>
    <row r="7" spans="1:5" x14ac:dyDescent="0.25">
      <c r="A7" s="42" t="s">
        <v>1392</v>
      </c>
      <c r="B7" s="42" t="s">
        <v>1749</v>
      </c>
      <c r="C7" s="42" t="s">
        <v>1393</v>
      </c>
      <c r="D7" s="42" t="s">
        <v>1394</v>
      </c>
      <c r="E7" s="24" t="s">
        <v>1803</v>
      </c>
    </row>
    <row r="8" spans="1:5" x14ac:dyDescent="0.25">
      <c r="A8" s="42" t="s">
        <v>1395</v>
      </c>
      <c r="B8" s="42" t="s">
        <v>1749</v>
      </c>
      <c r="C8" s="42" t="s">
        <v>1396</v>
      </c>
      <c r="D8" s="42" t="s">
        <v>1394</v>
      </c>
      <c r="E8" s="24" t="s">
        <v>1803</v>
      </c>
    </row>
    <row r="9" spans="1:5" x14ac:dyDescent="0.25">
      <c r="A9" s="42" t="s">
        <v>1397</v>
      </c>
      <c r="B9" s="42" t="s">
        <v>1749</v>
      </c>
      <c r="C9" s="42" t="s">
        <v>1398</v>
      </c>
      <c r="D9" s="42" t="s">
        <v>1394</v>
      </c>
      <c r="E9" s="24" t="s">
        <v>1803</v>
      </c>
    </row>
    <row r="10" spans="1:5" x14ac:dyDescent="0.25">
      <c r="A10" s="42" t="s">
        <v>1399</v>
      </c>
      <c r="B10" s="42" t="s">
        <v>1749</v>
      </c>
      <c r="C10" s="42" t="s">
        <v>1400</v>
      </c>
      <c r="D10" s="42" t="s">
        <v>1394</v>
      </c>
      <c r="E10" s="24" t="s">
        <v>1803</v>
      </c>
    </row>
    <row r="11" spans="1:5" x14ac:dyDescent="0.25">
      <c r="A11" s="42" t="s">
        <v>1401</v>
      </c>
      <c r="B11" s="42" t="s">
        <v>1749</v>
      </c>
      <c r="C11" s="42" t="s">
        <v>1402</v>
      </c>
      <c r="D11" s="42" t="s">
        <v>1394</v>
      </c>
      <c r="E11" s="24" t="s">
        <v>1803</v>
      </c>
    </row>
    <row r="12" spans="1:5" ht="30" x14ac:dyDescent="0.25">
      <c r="A12" s="42" t="s">
        <v>1403</v>
      </c>
      <c r="B12" s="42" t="s">
        <v>1749</v>
      </c>
      <c r="C12" s="58" t="s">
        <v>1741</v>
      </c>
      <c r="D12" s="42" t="s">
        <v>1394</v>
      </c>
      <c r="E12" s="24" t="s">
        <v>1803</v>
      </c>
    </row>
    <row r="13" spans="1:5" x14ac:dyDescent="0.25">
      <c r="A13" s="42" t="s">
        <v>1404</v>
      </c>
      <c r="B13" s="42" t="s">
        <v>1749</v>
      </c>
      <c r="C13" s="42" t="s">
        <v>1742</v>
      </c>
      <c r="D13" s="42" t="s">
        <v>1394</v>
      </c>
      <c r="E13" s="24" t="s">
        <v>1803</v>
      </c>
    </row>
    <row r="14" spans="1:5" x14ac:dyDescent="0.25">
      <c r="A14" s="69" t="s">
        <v>1776</v>
      </c>
      <c r="B14" s="69" t="s">
        <v>1749</v>
      </c>
      <c r="C14" s="69" t="s">
        <v>1778</v>
      </c>
      <c r="D14" s="69" t="s">
        <v>1779</v>
      </c>
      <c r="E14" s="70" t="s">
        <v>1781</v>
      </c>
    </row>
    <row r="15" spans="1:5" x14ac:dyDescent="0.25">
      <c r="A15" s="69" t="s">
        <v>1777</v>
      </c>
      <c r="B15" s="69" t="s">
        <v>1749</v>
      </c>
      <c r="C15" s="69" t="s">
        <v>1780</v>
      </c>
      <c r="D15" s="69" t="s">
        <v>1779</v>
      </c>
      <c r="E15" s="70" t="s">
        <v>1781</v>
      </c>
    </row>
    <row r="16" spans="1:5" x14ac:dyDescent="0.25">
      <c r="A16" s="42" t="s">
        <v>1405</v>
      </c>
      <c r="B16" s="42" t="s">
        <v>1749</v>
      </c>
      <c r="C16" s="42" t="s">
        <v>1406</v>
      </c>
      <c r="D16" s="42" t="s">
        <v>1407</v>
      </c>
      <c r="E16" s="24" t="s">
        <v>1803</v>
      </c>
    </row>
    <row r="17" spans="1:5" x14ac:dyDescent="0.25">
      <c r="A17" s="42" t="s">
        <v>1408</v>
      </c>
      <c r="B17" s="42" t="s">
        <v>1749</v>
      </c>
      <c r="C17" s="42" t="s">
        <v>1409</v>
      </c>
      <c r="D17" s="42" t="s">
        <v>1407</v>
      </c>
      <c r="E17" s="24" t="s">
        <v>1803</v>
      </c>
    </row>
    <row r="18" spans="1:5" x14ac:dyDescent="0.25">
      <c r="A18" s="42" t="s">
        <v>1410</v>
      </c>
      <c r="B18" s="42" t="s">
        <v>1749</v>
      </c>
      <c r="C18" s="42" t="s">
        <v>1411</v>
      </c>
      <c r="D18" s="42" t="s">
        <v>1412</v>
      </c>
      <c r="E18" s="24" t="s">
        <v>1803</v>
      </c>
    </row>
    <row r="19" spans="1:5" x14ac:dyDescent="0.25">
      <c r="A19" s="42" t="s">
        <v>1413</v>
      </c>
      <c r="B19" s="42" t="s">
        <v>1749</v>
      </c>
      <c r="C19" s="42" t="s">
        <v>1414</v>
      </c>
      <c r="D19" s="42" t="s">
        <v>1415</v>
      </c>
      <c r="E19" s="24" t="s">
        <v>1803</v>
      </c>
    </row>
    <row r="20" spans="1:5" x14ac:dyDescent="0.25">
      <c r="A20" s="42" t="s">
        <v>1416</v>
      </c>
      <c r="B20" s="42" t="s">
        <v>1749</v>
      </c>
      <c r="C20" s="42" t="s">
        <v>1417</v>
      </c>
      <c r="D20" s="42" t="s">
        <v>1418</v>
      </c>
      <c r="E20" s="24" t="s">
        <v>1803</v>
      </c>
    </row>
    <row r="21" spans="1:5" x14ac:dyDescent="0.25">
      <c r="A21" s="42" t="s">
        <v>1419</v>
      </c>
      <c r="B21" s="42" t="s">
        <v>1749</v>
      </c>
      <c r="C21" s="42" t="s">
        <v>1420</v>
      </c>
      <c r="D21" s="42" t="s">
        <v>1418</v>
      </c>
      <c r="E21" s="24" t="s">
        <v>1803</v>
      </c>
    </row>
    <row r="22" spans="1:5" x14ac:dyDescent="0.25">
      <c r="A22" s="42" t="s">
        <v>1421</v>
      </c>
      <c r="B22" s="42" t="s">
        <v>1749</v>
      </c>
      <c r="C22" s="42" t="s">
        <v>1422</v>
      </c>
      <c r="D22" s="42" t="s">
        <v>1423</v>
      </c>
      <c r="E22" s="24" t="s">
        <v>1803</v>
      </c>
    </row>
    <row r="23" spans="1:5" x14ac:dyDescent="0.25">
      <c r="A23" s="42" t="s">
        <v>1424</v>
      </c>
      <c r="B23" s="42" t="s">
        <v>1749</v>
      </c>
      <c r="C23" s="42" t="s">
        <v>1425</v>
      </c>
      <c r="D23" s="42" t="s">
        <v>1423</v>
      </c>
      <c r="E23" s="24" t="s">
        <v>1803</v>
      </c>
    </row>
    <row r="24" spans="1:5" x14ac:dyDescent="0.25">
      <c r="A24" s="42" t="s">
        <v>1426</v>
      </c>
      <c r="B24" s="42" t="s">
        <v>1749</v>
      </c>
      <c r="C24" s="42" t="s">
        <v>1427</v>
      </c>
      <c r="D24" s="42" t="s">
        <v>1423</v>
      </c>
      <c r="E24" s="24" t="s">
        <v>1803</v>
      </c>
    </row>
    <row r="25" spans="1:5" x14ac:dyDescent="0.25">
      <c r="A25" s="42" t="s">
        <v>1428</v>
      </c>
      <c r="B25" s="42" t="s">
        <v>1749</v>
      </c>
      <c r="C25" s="42" t="s">
        <v>1429</v>
      </c>
      <c r="D25" s="42" t="s">
        <v>1361</v>
      </c>
      <c r="E25" s="24" t="s">
        <v>1803</v>
      </c>
    </row>
    <row r="26" spans="1:5" x14ac:dyDescent="0.25">
      <c r="A26" s="42" t="s">
        <v>1430</v>
      </c>
      <c r="B26" s="42" t="s">
        <v>1749</v>
      </c>
      <c r="C26" s="42" t="s">
        <v>1431</v>
      </c>
      <c r="D26" s="42" t="s">
        <v>1361</v>
      </c>
      <c r="E26" s="24" t="s">
        <v>1803</v>
      </c>
    </row>
    <row r="27" spans="1:5" x14ac:dyDescent="0.25">
      <c r="A27" s="42" t="s">
        <v>1432</v>
      </c>
      <c r="B27" s="42" t="s">
        <v>1749</v>
      </c>
      <c r="C27" s="42" t="s">
        <v>1433</v>
      </c>
      <c r="D27" s="42" t="s">
        <v>1434</v>
      </c>
      <c r="E27" s="24" t="s">
        <v>1803</v>
      </c>
    </row>
    <row r="28" spans="1:5" x14ac:dyDescent="0.25">
      <c r="A28" s="42" t="s">
        <v>1435</v>
      </c>
      <c r="B28" s="42" t="s">
        <v>1749</v>
      </c>
      <c r="C28" s="42" t="s">
        <v>1436</v>
      </c>
      <c r="D28" s="42" t="s">
        <v>1437</v>
      </c>
      <c r="E28" s="24" t="s">
        <v>1803</v>
      </c>
    </row>
    <row r="29" spans="1:5" x14ac:dyDescent="0.25">
      <c r="A29" s="42" t="s">
        <v>1438</v>
      </c>
      <c r="B29" s="42" t="s">
        <v>1749</v>
      </c>
      <c r="C29" s="42" t="s">
        <v>1439</v>
      </c>
      <c r="D29" s="42" t="s">
        <v>1440</v>
      </c>
      <c r="E29" s="24" t="s">
        <v>1803</v>
      </c>
    </row>
    <row r="30" spans="1:5" x14ac:dyDescent="0.25">
      <c r="A30" s="42" t="s">
        <v>1441</v>
      </c>
      <c r="B30" s="42" t="s">
        <v>1749</v>
      </c>
      <c r="C30" s="42" t="s">
        <v>1442</v>
      </c>
      <c r="D30" s="42" t="s">
        <v>1440</v>
      </c>
      <c r="E30" s="24" t="s">
        <v>1803</v>
      </c>
    </row>
    <row r="31" spans="1:5" x14ac:dyDescent="0.25">
      <c r="A31" s="69" t="s">
        <v>1783</v>
      </c>
      <c r="B31" s="69" t="s">
        <v>1749</v>
      </c>
      <c r="C31" s="69" t="s">
        <v>1782</v>
      </c>
      <c r="D31" s="69" t="s">
        <v>1440</v>
      </c>
      <c r="E31" s="70" t="s">
        <v>1781</v>
      </c>
    </row>
    <row r="32" spans="1:5" x14ac:dyDescent="0.25">
      <c r="A32" s="42" t="s">
        <v>1443</v>
      </c>
      <c r="B32" s="42" t="s">
        <v>1749</v>
      </c>
      <c r="C32" s="42" t="s">
        <v>1444</v>
      </c>
      <c r="D32" s="42" t="s">
        <v>1362</v>
      </c>
      <c r="E32" s="24" t="s">
        <v>1803</v>
      </c>
    </row>
    <row r="33" spans="1:5" x14ac:dyDescent="0.25">
      <c r="A33" s="42" t="s">
        <v>1445</v>
      </c>
      <c r="B33" s="42" t="s">
        <v>1749</v>
      </c>
      <c r="C33" s="42" t="s">
        <v>1446</v>
      </c>
      <c r="D33" s="42" t="s">
        <v>1447</v>
      </c>
      <c r="E33" s="24" t="s">
        <v>1803</v>
      </c>
    </row>
    <row r="34" spans="1:5" x14ac:dyDescent="0.25">
      <c r="A34" s="42" t="s">
        <v>1448</v>
      </c>
      <c r="B34" s="42" t="s">
        <v>1749</v>
      </c>
      <c r="C34" s="42" t="s">
        <v>1449</v>
      </c>
      <c r="D34" s="42" t="s">
        <v>1450</v>
      </c>
      <c r="E34" s="24" t="s">
        <v>1803</v>
      </c>
    </row>
    <row r="35" spans="1:5" x14ac:dyDescent="0.25">
      <c r="A35" s="42" t="s">
        <v>1451</v>
      </c>
      <c r="B35" s="42" t="s">
        <v>1749</v>
      </c>
      <c r="C35" s="42" t="s">
        <v>1452</v>
      </c>
      <c r="D35" s="42" t="s">
        <v>1453</v>
      </c>
      <c r="E35" s="24" t="s">
        <v>1803</v>
      </c>
    </row>
    <row r="36" spans="1:5" x14ac:dyDescent="0.25">
      <c r="A36" s="42" t="s">
        <v>1454</v>
      </c>
      <c r="B36" s="42" t="s">
        <v>1749</v>
      </c>
      <c r="C36" s="42" t="s">
        <v>1455</v>
      </c>
      <c r="D36" s="42" t="s">
        <v>1456</v>
      </c>
      <c r="E36" s="24" t="s">
        <v>1803</v>
      </c>
    </row>
    <row r="37" spans="1:5" x14ac:dyDescent="0.25">
      <c r="A37" s="42" t="s">
        <v>1457</v>
      </c>
      <c r="B37" s="42" t="s">
        <v>1749</v>
      </c>
      <c r="C37" s="42" t="s">
        <v>1458</v>
      </c>
      <c r="D37" s="42" t="s">
        <v>1456</v>
      </c>
      <c r="E37" s="24" t="s">
        <v>1803</v>
      </c>
    </row>
    <row r="38" spans="1:5" x14ac:dyDescent="0.25">
      <c r="A38" s="42" t="s">
        <v>1459</v>
      </c>
      <c r="B38" s="42" t="s">
        <v>1749</v>
      </c>
      <c r="C38" s="42" t="s">
        <v>1460</v>
      </c>
      <c r="D38" s="42" t="s">
        <v>1456</v>
      </c>
      <c r="E38" s="24" t="s">
        <v>1803</v>
      </c>
    </row>
    <row r="39" spans="1:5" x14ac:dyDescent="0.25">
      <c r="A39" s="42" t="s">
        <v>1461</v>
      </c>
      <c r="B39" s="42" t="s">
        <v>1749</v>
      </c>
      <c r="C39" s="42" t="s">
        <v>1462</v>
      </c>
      <c r="D39" s="42" t="s">
        <v>1456</v>
      </c>
      <c r="E39" s="24" t="s">
        <v>1803</v>
      </c>
    </row>
    <row r="40" spans="1:5" x14ac:dyDescent="0.25">
      <c r="A40" s="42" t="s">
        <v>1463</v>
      </c>
      <c r="B40" s="42" t="s">
        <v>1750</v>
      </c>
      <c r="C40" s="42" t="s">
        <v>1464</v>
      </c>
      <c r="D40" s="42" t="s">
        <v>1362</v>
      </c>
      <c r="E40" s="24" t="s">
        <v>1803</v>
      </c>
    </row>
    <row r="41" spans="1:5" x14ac:dyDescent="0.25">
      <c r="A41" s="42" t="s">
        <v>1465</v>
      </c>
      <c r="B41" s="42" t="s">
        <v>1750</v>
      </c>
      <c r="C41" s="42" t="s">
        <v>1466</v>
      </c>
      <c r="D41" s="42" t="s">
        <v>1362</v>
      </c>
      <c r="E41" s="24" t="s">
        <v>1803</v>
      </c>
    </row>
    <row r="42" spans="1:5" x14ac:dyDescent="0.25">
      <c r="A42" s="42" t="s">
        <v>1467</v>
      </c>
      <c r="B42" s="42" t="s">
        <v>1750</v>
      </c>
      <c r="C42" s="42" t="s">
        <v>1468</v>
      </c>
      <c r="D42" s="42" t="s">
        <v>1362</v>
      </c>
      <c r="E42" s="24" t="s">
        <v>1803</v>
      </c>
    </row>
    <row r="43" spans="1:5" x14ac:dyDescent="0.25">
      <c r="A43" s="42" t="s">
        <v>1469</v>
      </c>
      <c r="B43" s="42" t="s">
        <v>1750</v>
      </c>
      <c r="C43" s="42" t="s">
        <v>1470</v>
      </c>
      <c r="D43" s="42" t="s">
        <v>1362</v>
      </c>
      <c r="E43" s="24" t="s">
        <v>1803</v>
      </c>
    </row>
    <row r="44" spans="1:5" x14ac:dyDescent="0.25">
      <c r="A44" s="69" t="s">
        <v>1784</v>
      </c>
      <c r="B44" s="69" t="s">
        <v>1750</v>
      </c>
      <c r="C44" s="69" t="s">
        <v>1787</v>
      </c>
      <c r="D44" s="69" t="s">
        <v>1360</v>
      </c>
      <c r="E44" s="70" t="s">
        <v>1781</v>
      </c>
    </row>
    <row r="45" spans="1:5" x14ac:dyDescent="0.25">
      <c r="A45" s="69" t="s">
        <v>1785</v>
      </c>
      <c r="B45" s="69" t="s">
        <v>1750</v>
      </c>
      <c r="C45" s="69" t="s">
        <v>1788</v>
      </c>
      <c r="D45" s="69" t="s">
        <v>1362</v>
      </c>
      <c r="E45" s="70" t="s">
        <v>1781</v>
      </c>
    </row>
    <row r="46" spans="1:5" x14ac:dyDescent="0.25">
      <c r="A46" s="69" t="s">
        <v>1786</v>
      </c>
      <c r="B46" s="69" t="s">
        <v>1750</v>
      </c>
      <c r="C46" s="69" t="s">
        <v>1789</v>
      </c>
      <c r="D46" s="69" t="s">
        <v>1362</v>
      </c>
      <c r="E46" s="70" t="s">
        <v>1781</v>
      </c>
    </row>
    <row r="47" spans="1:5" x14ac:dyDescent="0.25">
      <c r="A47" s="42" t="s">
        <v>1471</v>
      </c>
      <c r="B47" s="42" t="s">
        <v>1750</v>
      </c>
      <c r="C47" s="42" t="s">
        <v>1472</v>
      </c>
      <c r="D47" s="42" t="s">
        <v>1473</v>
      </c>
      <c r="E47" s="24" t="s">
        <v>1803</v>
      </c>
    </row>
    <row r="48" spans="1:5" x14ac:dyDescent="0.25">
      <c r="A48" s="42" t="s">
        <v>1474</v>
      </c>
      <c r="B48" s="42" t="s">
        <v>1750</v>
      </c>
      <c r="C48" s="42" t="s">
        <v>1475</v>
      </c>
      <c r="D48" s="42" t="s">
        <v>1476</v>
      </c>
      <c r="E48" s="24" t="s">
        <v>1803</v>
      </c>
    </row>
    <row r="49" spans="1:5" x14ac:dyDescent="0.25">
      <c r="A49" s="42" t="s">
        <v>1477</v>
      </c>
      <c r="B49" s="42" t="s">
        <v>1750</v>
      </c>
      <c r="C49" s="42" t="s">
        <v>1478</v>
      </c>
      <c r="D49" s="42" t="s">
        <v>1362</v>
      </c>
      <c r="E49" s="24" t="s">
        <v>1803</v>
      </c>
    </row>
    <row r="50" spans="1:5" x14ac:dyDescent="0.25">
      <c r="A50" s="42" t="s">
        <v>1479</v>
      </c>
      <c r="B50" s="42" t="s">
        <v>1750</v>
      </c>
      <c r="C50" s="42" t="s">
        <v>1480</v>
      </c>
      <c r="D50" s="42" t="s">
        <v>1362</v>
      </c>
      <c r="E50" s="24" t="s">
        <v>1803</v>
      </c>
    </row>
    <row r="51" spans="1:5" x14ac:dyDescent="0.25">
      <c r="A51" s="42" t="s">
        <v>1481</v>
      </c>
      <c r="B51" s="42" t="s">
        <v>1750</v>
      </c>
      <c r="C51" s="42" t="s">
        <v>1482</v>
      </c>
      <c r="D51" s="42" t="s">
        <v>1473</v>
      </c>
      <c r="E51" s="24" t="s">
        <v>1803</v>
      </c>
    </row>
    <row r="52" spans="1:5" x14ac:dyDescent="0.25">
      <c r="A52" s="42" t="s">
        <v>1483</v>
      </c>
      <c r="B52" s="42" t="s">
        <v>1750</v>
      </c>
      <c r="C52" s="42" t="s">
        <v>1484</v>
      </c>
      <c r="D52" s="42" t="s">
        <v>1476</v>
      </c>
      <c r="E52" s="24" t="s">
        <v>1803</v>
      </c>
    </row>
    <row r="53" spans="1:5" x14ac:dyDescent="0.25">
      <c r="A53" s="42" t="s">
        <v>1485</v>
      </c>
      <c r="B53" s="42" t="s">
        <v>1750</v>
      </c>
      <c r="C53" s="42" t="s">
        <v>1486</v>
      </c>
      <c r="D53" s="42" t="s">
        <v>1362</v>
      </c>
      <c r="E53" s="24" t="s">
        <v>1803</v>
      </c>
    </row>
    <row r="54" spans="1:5" x14ac:dyDescent="0.25">
      <c r="A54" s="42" t="s">
        <v>1487</v>
      </c>
      <c r="B54" s="42" t="s">
        <v>1750</v>
      </c>
      <c r="C54" s="42" t="s">
        <v>1488</v>
      </c>
      <c r="D54" s="42" t="s">
        <v>1362</v>
      </c>
      <c r="E54" s="24" t="s">
        <v>1803</v>
      </c>
    </row>
    <row r="55" spans="1:5" x14ac:dyDescent="0.25">
      <c r="A55" s="69" t="s">
        <v>1790</v>
      </c>
      <c r="B55" s="69" t="s">
        <v>1750</v>
      </c>
      <c r="C55" s="69" t="s">
        <v>1791</v>
      </c>
      <c r="D55" s="69" t="s">
        <v>1779</v>
      </c>
      <c r="E55" s="70" t="s">
        <v>1781</v>
      </c>
    </row>
    <row r="56" spans="1:5" x14ac:dyDescent="0.25">
      <c r="A56" s="42" t="s">
        <v>1489</v>
      </c>
      <c r="B56" s="42" t="s">
        <v>1750</v>
      </c>
      <c r="C56" s="42" t="s">
        <v>1490</v>
      </c>
      <c r="D56" s="42" t="s">
        <v>1491</v>
      </c>
      <c r="E56" s="24" t="s">
        <v>1803</v>
      </c>
    </row>
    <row r="57" spans="1:5" x14ac:dyDescent="0.25">
      <c r="A57" s="42" t="s">
        <v>1492</v>
      </c>
      <c r="B57" s="42" t="s">
        <v>1750</v>
      </c>
      <c r="C57" s="42" t="s">
        <v>1493</v>
      </c>
      <c r="D57" s="42" t="s">
        <v>1494</v>
      </c>
      <c r="E57" s="24" t="s">
        <v>1803</v>
      </c>
    </row>
    <row r="58" spans="1:5" x14ac:dyDescent="0.25">
      <c r="A58" s="42" t="s">
        <v>1495</v>
      </c>
      <c r="B58" s="42" t="s">
        <v>1750</v>
      </c>
      <c r="C58" s="42" t="s">
        <v>1496</v>
      </c>
      <c r="D58" s="42" t="s">
        <v>1491</v>
      </c>
      <c r="E58" s="24" t="s">
        <v>1803</v>
      </c>
    </row>
    <row r="59" spans="1:5" x14ac:dyDescent="0.25">
      <c r="A59" s="42" t="s">
        <v>1497</v>
      </c>
      <c r="B59" s="42" t="s">
        <v>1750</v>
      </c>
      <c r="C59" s="42" t="s">
        <v>1498</v>
      </c>
      <c r="D59" s="42" t="s">
        <v>1491</v>
      </c>
      <c r="E59" s="24" t="s">
        <v>1803</v>
      </c>
    </row>
    <row r="60" spans="1:5" x14ac:dyDescent="0.25">
      <c r="A60" s="42" t="s">
        <v>1499</v>
      </c>
      <c r="B60" s="42" t="s">
        <v>1750</v>
      </c>
      <c r="C60" s="42" t="s">
        <v>1436</v>
      </c>
      <c r="D60" s="42" t="s">
        <v>1437</v>
      </c>
      <c r="E60" s="24" t="s">
        <v>1803</v>
      </c>
    </row>
    <row r="61" spans="1:5" x14ac:dyDescent="0.25">
      <c r="A61" s="69" t="s">
        <v>1792</v>
      </c>
      <c r="B61" s="69" t="s">
        <v>1750</v>
      </c>
      <c r="C61" s="69" t="s">
        <v>1794</v>
      </c>
      <c r="D61" s="69" t="s">
        <v>1361</v>
      </c>
      <c r="E61" s="70" t="s">
        <v>1781</v>
      </c>
    </row>
    <row r="62" spans="1:5" x14ac:dyDescent="0.25">
      <c r="A62" s="69" t="s">
        <v>1793</v>
      </c>
      <c r="B62" s="69" t="s">
        <v>1750</v>
      </c>
      <c r="C62" s="69" t="s">
        <v>1795</v>
      </c>
      <c r="D62" s="69" t="s">
        <v>1796</v>
      </c>
      <c r="E62" s="70" t="s">
        <v>1781</v>
      </c>
    </row>
    <row r="63" spans="1:5" x14ac:dyDescent="0.25">
      <c r="A63" s="42" t="s">
        <v>1500</v>
      </c>
      <c r="B63" s="42" t="s">
        <v>1750</v>
      </c>
      <c r="C63" s="42" t="s">
        <v>1501</v>
      </c>
      <c r="D63" s="42" t="s">
        <v>1361</v>
      </c>
      <c r="E63" s="24" t="s">
        <v>1803</v>
      </c>
    </row>
    <row r="64" spans="1:5" x14ac:dyDescent="0.25">
      <c r="A64" s="42" t="s">
        <v>1502</v>
      </c>
      <c r="B64" s="42" t="s">
        <v>1750</v>
      </c>
      <c r="C64" s="42" t="s">
        <v>1503</v>
      </c>
      <c r="D64" s="42" t="s">
        <v>1361</v>
      </c>
      <c r="E64" s="24" t="s">
        <v>1803</v>
      </c>
    </row>
    <row r="65" spans="1:5" x14ac:dyDescent="0.25">
      <c r="A65" s="42" t="s">
        <v>1504</v>
      </c>
      <c r="B65" s="42" t="s">
        <v>1750</v>
      </c>
      <c r="C65" s="42" t="s">
        <v>1505</v>
      </c>
      <c r="D65" s="42" t="s">
        <v>1361</v>
      </c>
      <c r="E65" s="24" t="s">
        <v>1803</v>
      </c>
    </row>
    <row r="66" spans="1:5" x14ac:dyDescent="0.25">
      <c r="A66" s="42" t="s">
        <v>1506</v>
      </c>
      <c r="B66" s="42" t="s">
        <v>1750</v>
      </c>
      <c r="C66" s="42" t="s">
        <v>1507</v>
      </c>
      <c r="D66" s="42" t="s">
        <v>1508</v>
      </c>
      <c r="E66" s="24" t="s">
        <v>1803</v>
      </c>
    </row>
    <row r="67" spans="1:5" x14ac:dyDescent="0.25">
      <c r="A67" s="42" t="s">
        <v>1509</v>
      </c>
      <c r="B67" s="42" t="s">
        <v>1750</v>
      </c>
      <c r="C67" s="42" t="s">
        <v>1510</v>
      </c>
      <c r="D67" s="42" t="s">
        <v>1361</v>
      </c>
      <c r="E67" s="24" t="s">
        <v>1803</v>
      </c>
    </row>
    <row r="68" spans="1:5" x14ac:dyDescent="0.25">
      <c r="A68" s="42" t="s">
        <v>1511</v>
      </c>
      <c r="B68" s="42" t="s">
        <v>1750</v>
      </c>
      <c r="C68" s="42" t="s">
        <v>1512</v>
      </c>
      <c r="D68" s="42" t="s">
        <v>1361</v>
      </c>
      <c r="E68" s="24" t="s">
        <v>1803</v>
      </c>
    </row>
    <row r="69" spans="1:5" x14ac:dyDescent="0.25">
      <c r="A69" s="42" t="s">
        <v>1513</v>
      </c>
      <c r="B69" s="42" t="s">
        <v>1750</v>
      </c>
      <c r="C69" s="42" t="s">
        <v>1514</v>
      </c>
      <c r="D69" s="42" t="s">
        <v>1361</v>
      </c>
      <c r="E69" s="24" t="s">
        <v>1803</v>
      </c>
    </row>
    <row r="70" spans="1:5" x14ac:dyDescent="0.25">
      <c r="A70" s="42" t="s">
        <v>1515</v>
      </c>
      <c r="B70" s="42" t="s">
        <v>1750</v>
      </c>
      <c r="C70" s="42" t="s">
        <v>1516</v>
      </c>
      <c r="D70" s="42" t="s">
        <v>1360</v>
      </c>
      <c r="E70" s="24" t="s">
        <v>1803</v>
      </c>
    </row>
    <row r="71" spans="1:5" x14ac:dyDescent="0.25">
      <c r="A71" s="42" t="s">
        <v>1517</v>
      </c>
      <c r="B71" s="42" t="s">
        <v>1750</v>
      </c>
      <c r="C71" s="42" t="s">
        <v>1518</v>
      </c>
      <c r="D71" s="42" t="s">
        <v>1519</v>
      </c>
      <c r="E71" s="24" t="s">
        <v>1803</v>
      </c>
    </row>
    <row r="72" spans="1:5" x14ac:dyDescent="0.25">
      <c r="A72" s="42" t="s">
        <v>1520</v>
      </c>
      <c r="B72" s="42" t="s">
        <v>1751</v>
      </c>
      <c r="C72" s="42" t="s">
        <v>1521</v>
      </c>
      <c r="D72" s="42" t="s">
        <v>1360</v>
      </c>
      <c r="E72" s="24" t="s">
        <v>1803</v>
      </c>
    </row>
    <row r="73" spans="1:5" x14ac:dyDescent="0.25">
      <c r="A73" s="42" t="s">
        <v>1522</v>
      </c>
      <c r="B73" s="42" t="s">
        <v>1751</v>
      </c>
      <c r="C73" s="42" t="s">
        <v>1523</v>
      </c>
      <c r="D73" s="42" t="s">
        <v>1360</v>
      </c>
      <c r="E73" s="24" t="s">
        <v>1803</v>
      </c>
    </row>
    <row r="74" spans="1:5" x14ac:dyDescent="0.25">
      <c r="A74" s="42" t="s">
        <v>1524</v>
      </c>
      <c r="B74" s="42" t="s">
        <v>1751</v>
      </c>
      <c r="C74" s="42" t="s">
        <v>1525</v>
      </c>
      <c r="D74" s="42" t="s">
        <v>1415</v>
      </c>
      <c r="E74" s="24" t="s">
        <v>1803</v>
      </c>
    </row>
    <row r="75" spans="1:5" x14ac:dyDescent="0.25">
      <c r="A75" s="42" t="s">
        <v>1526</v>
      </c>
      <c r="B75" s="42" t="s">
        <v>1751</v>
      </c>
      <c r="C75" s="42" t="s">
        <v>1527</v>
      </c>
      <c r="D75" s="42" t="s">
        <v>1528</v>
      </c>
      <c r="E75" s="24" t="s">
        <v>1803</v>
      </c>
    </row>
    <row r="76" spans="1:5" x14ac:dyDescent="0.25">
      <c r="A76" s="42" t="s">
        <v>1529</v>
      </c>
      <c r="B76" s="42" t="s">
        <v>1751</v>
      </c>
      <c r="C76" s="42" t="s">
        <v>1530</v>
      </c>
      <c r="D76" s="42" t="s">
        <v>1531</v>
      </c>
      <c r="E76" s="24" t="s">
        <v>1803</v>
      </c>
    </row>
    <row r="77" spans="1:5" x14ac:dyDescent="0.25">
      <c r="A77" s="42" t="s">
        <v>1532</v>
      </c>
      <c r="B77" s="42" t="s">
        <v>1751</v>
      </c>
      <c r="C77" s="42" t="s">
        <v>1533</v>
      </c>
      <c r="D77" s="42" t="s">
        <v>1534</v>
      </c>
      <c r="E77" s="24" t="s">
        <v>1803</v>
      </c>
    </row>
    <row r="78" spans="1:5" x14ac:dyDescent="0.25">
      <c r="A78" s="42" t="s">
        <v>1535</v>
      </c>
      <c r="B78" s="42" t="s">
        <v>1751</v>
      </c>
      <c r="C78" s="42" t="s">
        <v>1536</v>
      </c>
      <c r="D78" s="42" t="s">
        <v>1534</v>
      </c>
      <c r="E78" s="24" t="s">
        <v>1803</v>
      </c>
    </row>
    <row r="79" spans="1:5" x14ac:dyDescent="0.25">
      <c r="A79" s="42" t="s">
        <v>1537</v>
      </c>
      <c r="B79" s="42" t="s">
        <v>1751</v>
      </c>
      <c r="C79" s="42" t="s">
        <v>1538</v>
      </c>
      <c r="D79" s="42" t="s">
        <v>1539</v>
      </c>
      <c r="E79" s="24" t="s">
        <v>1803</v>
      </c>
    </row>
    <row r="80" spans="1:5" x14ac:dyDescent="0.25">
      <c r="A80" s="42" t="s">
        <v>1540</v>
      </c>
      <c r="B80" s="42" t="s">
        <v>1751</v>
      </c>
      <c r="C80" s="42" t="s">
        <v>1541</v>
      </c>
      <c r="D80" s="42" t="s">
        <v>1539</v>
      </c>
      <c r="E80" s="24" t="s">
        <v>1803</v>
      </c>
    </row>
    <row r="81" spans="1:5" x14ac:dyDescent="0.25">
      <c r="A81" s="42" t="s">
        <v>1542</v>
      </c>
      <c r="B81" s="42" t="s">
        <v>1751</v>
      </c>
      <c r="C81" s="42" t="s">
        <v>1543</v>
      </c>
      <c r="D81" s="42" t="s">
        <v>1415</v>
      </c>
      <c r="E81" s="24" t="s">
        <v>1803</v>
      </c>
    </row>
    <row r="82" spans="1:5" x14ac:dyDescent="0.25">
      <c r="A82" s="42" t="s">
        <v>1544</v>
      </c>
      <c r="B82" s="42" t="s">
        <v>1751</v>
      </c>
      <c r="C82" s="42" t="s">
        <v>1545</v>
      </c>
      <c r="D82" s="42" t="s">
        <v>1546</v>
      </c>
      <c r="E82" s="24" t="s">
        <v>1803</v>
      </c>
    </row>
    <row r="83" spans="1:5" x14ac:dyDescent="0.25">
      <c r="A83" s="42" t="s">
        <v>1547</v>
      </c>
      <c r="B83" s="42" t="s">
        <v>1752</v>
      </c>
      <c r="C83" s="42" t="s">
        <v>1548</v>
      </c>
      <c r="D83" s="42" t="s">
        <v>1549</v>
      </c>
      <c r="E83" s="24" t="s">
        <v>1802</v>
      </c>
    </row>
    <row r="84" spans="1:5" x14ac:dyDescent="0.25">
      <c r="A84" s="42" t="s">
        <v>1550</v>
      </c>
      <c r="B84" s="42" t="s">
        <v>1752</v>
      </c>
      <c r="C84" s="42" t="s">
        <v>1551</v>
      </c>
      <c r="D84" s="42" t="s">
        <v>1549</v>
      </c>
      <c r="E84" s="24" t="s">
        <v>1802</v>
      </c>
    </row>
    <row r="85" spans="1:5" x14ac:dyDescent="0.25">
      <c r="A85" s="42" t="s">
        <v>1552</v>
      </c>
      <c r="B85" s="42" t="s">
        <v>1752</v>
      </c>
      <c r="C85" s="42" t="s">
        <v>1553</v>
      </c>
      <c r="D85" s="42" t="s">
        <v>1549</v>
      </c>
      <c r="E85" s="24" t="s">
        <v>1802</v>
      </c>
    </row>
    <row r="86" spans="1:5" x14ac:dyDescent="0.25">
      <c r="A86" s="42" t="s">
        <v>1554</v>
      </c>
      <c r="B86" s="42" t="s">
        <v>1752</v>
      </c>
      <c r="C86" s="42" t="s">
        <v>1555</v>
      </c>
      <c r="D86" s="42" t="s">
        <v>1556</v>
      </c>
      <c r="E86" s="24" t="s">
        <v>1802</v>
      </c>
    </row>
    <row r="87" spans="1:5" x14ac:dyDescent="0.25">
      <c r="A87" s="42" t="s">
        <v>1557</v>
      </c>
      <c r="B87" s="42" t="s">
        <v>1752</v>
      </c>
      <c r="C87" s="42" t="s">
        <v>1558</v>
      </c>
      <c r="D87" s="42" t="s">
        <v>1559</v>
      </c>
      <c r="E87" s="24" t="s">
        <v>1802</v>
      </c>
    </row>
    <row r="88" spans="1:5" x14ac:dyDescent="0.25">
      <c r="A88" s="42" t="s">
        <v>1560</v>
      </c>
      <c r="B88" s="42" t="s">
        <v>1752</v>
      </c>
      <c r="C88" s="42" t="s">
        <v>1561</v>
      </c>
      <c r="D88" s="42" t="s">
        <v>1549</v>
      </c>
      <c r="E88" s="24" t="s">
        <v>1802</v>
      </c>
    </row>
    <row r="89" spans="1:5" x14ac:dyDescent="0.25">
      <c r="A89" s="42" t="s">
        <v>1562</v>
      </c>
      <c r="B89" s="42" t="s">
        <v>1752</v>
      </c>
      <c r="C89" s="42" t="s">
        <v>1563</v>
      </c>
      <c r="D89" s="42" t="s">
        <v>1549</v>
      </c>
      <c r="E89" s="24" t="s">
        <v>1802</v>
      </c>
    </row>
    <row r="90" spans="1:5" ht="30" x14ac:dyDescent="0.25">
      <c r="A90" s="42" t="s">
        <v>1564</v>
      </c>
      <c r="B90" s="42" t="s">
        <v>1752</v>
      </c>
      <c r="C90" s="42" t="s">
        <v>1565</v>
      </c>
      <c r="D90" s="58" t="s">
        <v>1566</v>
      </c>
      <c r="E90" s="24" t="s">
        <v>1802</v>
      </c>
    </row>
    <row r="91" spans="1:5" x14ac:dyDescent="0.25">
      <c r="A91" s="42" t="s">
        <v>1567</v>
      </c>
      <c r="B91" s="42" t="s">
        <v>1752</v>
      </c>
      <c r="C91" s="42" t="s">
        <v>1568</v>
      </c>
      <c r="D91" s="42" t="s">
        <v>1569</v>
      </c>
      <c r="E91" s="24" t="s">
        <v>1802</v>
      </c>
    </row>
    <row r="92" spans="1:5" x14ac:dyDescent="0.25">
      <c r="A92" s="42" t="s">
        <v>1570</v>
      </c>
      <c r="B92" s="42" t="s">
        <v>1752</v>
      </c>
      <c r="C92" s="42" t="s">
        <v>1571</v>
      </c>
      <c r="D92" s="42" t="s">
        <v>1549</v>
      </c>
      <c r="E92" s="24" t="s">
        <v>1802</v>
      </c>
    </row>
    <row r="93" spans="1:5" x14ac:dyDescent="0.25">
      <c r="A93" s="42" t="s">
        <v>1572</v>
      </c>
      <c r="B93" s="42" t="s">
        <v>1752</v>
      </c>
      <c r="C93" s="42" t="s">
        <v>1573</v>
      </c>
      <c r="D93" s="42" t="s">
        <v>1559</v>
      </c>
      <c r="E93" s="24" t="s">
        <v>1802</v>
      </c>
    </row>
    <row r="94" spans="1:5" x14ac:dyDescent="0.25">
      <c r="A94" s="42" t="s">
        <v>1574</v>
      </c>
      <c r="B94" s="42" t="s">
        <v>1753</v>
      </c>
      <c r="C94" s="42" t="s">
        <v>1575</v>
      </c>
      <c r="D94" s="42" t="s">
        <v>1473</v>
      </c>
      <c r="E94" s="24" t="s">
        <v>1803</v>
      </c>
    </row>
    <row r="95" spans="1:5" x14ac:dyDescent="0.25">
      <c r="A95" s="42" t="s">
        <v>1576</v>
      </c>
      <c r="B95" s="42" t="s">
        <v>1753</v>
      </c>
      <c r="C95" s="42" t="s">
        <v>1577</v>
      </c>
      <c r="D95" s="42" t="s">
        <v>1476</v>
      </c>
      <c r="E95" s="24" t="s">
        <v>1803</v>
      </c>
    </row>
    <row r="96" spans="1:5" x14ac:dyDescent="0.25">
      <c r="A96" s="42" t="s">
        <v>1578</v>
      </c>
      <c r="B96" s="42" t="s">
        <v>1753</v>
      </c>
      <c r="C96" s="42" t="s">
        <v>1579</v>
      </c>
      <c r="D96" s="42" t="s">
        <v>1362</v>
      </c>
      <c r="E96" s="24" t="s">
        <v>1803</v>
      </c>
    </row>
    <row r="97" spans="1:5" x14ac:dyDescent="0.25">
      <c r="A97" s="42" t="s">
        <v>1580</v>
      </c>
      <c r="B97" s="42" t="s">
        <v>1753</v>
      </c>
      <c r="C97" s="42" t="s">
        <v>1581</v>
      </c>
      <c r="D97" s="42" t="s">
        <v>1473</v>
      </c>
      <c r="E97" s="24" t="s">
        <v>1803</v>
      </c>
    </row>
    <row r="98" spans="1:5" x14ac:dyDescent="0.25">
      <c r="A98" s="42" t="s">
        <v>1582</v>
      </c>
      <c r="B98" s="42" t="s">
        <v>1753</v>
      </c>
      <c r="C98" s="42" t="s">
        <v>1583</v>
      </c>
      <c r="D98" s="42" t="s">
        <v>1415</v>
      </c>
      <c r="E98" s="24" t="s">
        <v>1803</v>
      </c>
    </row>
    <row r="99" spans="1:5" x14ac:dyDescent="0.25">
      <c r="A99" s="42" t="s">
        <v>1584</v>
      </c>
      <c r="B99" s="42" t="s">
        <v>1753</v>
      </c>
      <c r="C99" s="42" t="s">
        <v>1585</v>
      </c>
      <c r="D99" s="42" t="s">
        <v>1415</v>
      </c>
      <c r="E99" s="24" t="s">
        <v>1803</v>
      </c>
    </row>
    <row r="100" spans="1:5" x14ac:dyDescent="0.25">
      <c r="A100" s="42" t="s">
        <v>1586</v>
      </c>
      <c r="B100" s="42" t="s">
        <v>1753</v>
      </c>
      <c r="C100" s="42" t="s">
        <v>1587</v>
      </c>
      <c r="D100" s="42" t="s">
        <v>1415</v>
      </c>
      <c r="E100" s="24" t="s">
        <v>1803</v>
      </c>
    </row>
    <row r="101" spans="1:5" x14ac:dyDescent="0.25">
      <c r="A101" s="42" t="s">
        <v>1588</v>
      </c>
      <c r="B101" s="42" t="s">
        <v>1753</v>
      </c>
      <c r="C101" s="42" t="s">
        <v>1589</v>
      </c>
      <c r="D101" s="42" t="s">
        <v>1362</v>
      </c>
      <c r="E101" s="24" t="s">
        <v>1803</v>
      </c>
    </row>
    <row r="102" spans="1:5" x14ac:dyDescent="0.25">
      <c r="A102" s="42" t="s">
        <v>1590</v>
      </c>
      <c r="B102" s="42" t="s">
        <v>1753</v>
      </c>
      <c r="C102" s="42" t="s">
        <v>1591</v>
      </c>
      <c r="D102" s="42" t="s">
        <v>1362</v>
      </c>
      <c r="E102" s="24" t="s">
        <v>1803</v>
      </c>
    </row>
    <row r="103" spans="1:5" x14ac:dyDescent="0.25">
      <c r="A103" s="42" t="s">
        <v>1592</v>
      </c>
      <c r="B103" s="42" t="s">
        <v>1754</v>
      </c>
      <c r="C103" s="42" t="s">
        <v>1593</v>
      </c>
      <c r="D103" s="42" t="s">
        <v>1594</v>
      </c>
      <c r="E103" s="24" t="s">
        <v>1803</v>
      </c>
    </row>
    <row r="104" spans="1:5" x14ac:dyDescent="0.25">
      <c r="A104" s="42" t="s">
        <v>1595</v>
      </c>
      <c r="B104" s="42" t="s">
        <v>1754</v>
      </c>
      <c r="C104" s="42" t="s">
        <v>1596</v>
      </c>
      <c r="D104" s="42" t="s">
        <v>1597</v>
      </c>
      <c r="E104" s="24" t="s">
        <v>1803</v>
      </c>
    </row>
    <row r="105" spans="1:5" ht="45" x14ac:dyDescent="0.25">
      <c r="A105" s="42" t="s">
        <v>1598</v>
      </c>
      <c r="B105" s="42" t="s">
        <v>1754</v>
      </c>
      <c r="C105" s="42" t="s">
        <v>1599</v>
      </c>
      <c r="D105" s="58" t="s">
        <v>1600</v>
      </c>
      <c r="E105" s="24" t="s">
        <v>1803</v>
      </c>
    </row>
    <row r="106" spans="1:5" x14ac:dyDescent="0.25">
      <c r="A106" s="42" t="s">
        <v>1601</v>
      </c>
      <c r="B106" s="42" t="s">
        <v>1754</v>
      </c>
      <c r="C106" s="42" t="s">
        <v>1602</v>
      </c>
      <c r="D106" s="42" t="s">
        <v>1603</v>
      </c>
      <c r="E106" s="24" t="s">
        <v>1803</v>
      </c>
    </row>
    <row r="107" spans="1:5" x14ac:dyDescent="0.25">
      <c r="A107" s="42" t="s">
        <v>1604</v>
      </c>
      <c r="B107" s="42" t="s">
        <v>1754</v>
      </c>
      <c r="C107" s="42" t="s">
        <v>1605</v>
      </c>
      <c r="D107" s="42" t="s">
        <v>1606</v>
      </c>
      <c r="E107" s="24" t="s">
        <v>1803</v>
      </c>
    </row>
    <row r="108" spans="1:5" x14ac:dyDescent="0.25">
      <c r="A108" s="42" t="s">
        <v>1607</v>
      </c>
      <c r="B108" s="42" t="s">
        <v>1755</v>
      </c>
      <c r="C108" s="42" t="s">
        <v>1608</v>
      </c>
      <c r="D108" s="42" t="s">
        <v>1360</v>
      </c>
      <c r="E108" s="24" t="s">
        <v>1803</v>
      </c>
    </row>
    <row r="109" spans="1:5" x14ac:dyDescent="0.25">
      <c r="A109" s="42" t="s">
        <v>1609</v>
      </c>
      <c r="B109" s="42" t="s">
        <v>1755</v>
      </c>
      <c r="C109" s="42" t="s">
        <v>1610</v>
      </c>
      <c r="D109" s="42" t="s">
        <v>1473</v>
      </c>
      <c r="E109" s="24" t="s">
        <v>1803</v>
      </c>
    </row>
    <row r="110" spans="1:5" x14ac:dyDescent="0.25">
      <c r="A110" s="42" t="s">
        <v>1611</v>
      </c>
      <c r="B110" s="42" t="s">
        <v>1755</v>
      </c>
      <c r="C110" s="42" t="s">
        <v>1612</v>
      </c>
      <c r="D110" s="42" t="s">
        <v>1362</v>
      </c>
      <c r="E110" s="24" t="s">
        <v>1803</v>
      </c>
    </row>
    <row r="111" spans="1:5" x14ac:dyDescent="0.25">
      <c r="A111" s="42" t="s">
        <v>1613</v>
      </c>
      <c r="B111" s="42" t="s">
        <v>1755</v>
      </c>
      <c r="C111" s="42" t="s">
        <v>1614</v>
      </c>
      <c r="D111" s="42" t="s">
        <v>1361</v>
      </c>
      <c r="E111" s="24" t="s">
        <v>1803</v>
      </c>
    </row>
    <row r="112" spans="1:5" x14ac:dyDescent="0.25">
      <c r="A112" s="69" t="s">
        <v>1797</v>
      </c>
      <c r="B112" s="69" t="s">
        <v>1755</v>
      </c>
      <c r="C112" s="69" t="s">
        <v>1799</v>
      </c>
      <c r="D112" s="69" t="s">
        <v>1360</v>
      </c>
      <c r="E112" s="70" t="s">
        <v>1781</v>
      </c>
    </row>
    <row r="113" spans="1:5" x14ac:dyDescent="0.25">
      <c r="A113" s="69" t="s">
        <v>1798</v>
      </c>
      <c r="B113" s="69" t="s">
        <v>1755</v>
      </c>
      <c r="C113" s="69" t="s">
        <v>1800</v>
      </c>
      <c r="D113" s="69" t="s">
        <v>1361</v>
      </c>
      <c r="E113" s="70" t="s">
        <v>1781</v>
      </c>
    </row>
    <row r="114" spans="1:5" x14ac:dyDescent="0.25">
      <c r="A114" s="42" t="s">
        <v>1615</v>
      </c>
      <c r="B114" s="42" t="s">
        <v>1755</v>
      </c>
      <c r="C114" s="42" t="s">
        <v>1616</v>
      </c>
      <c r="D114" s="42" t="s">
        <v>1437</v>
      </c>
      <c r="E114" s="24" t="s">
        <v>1803</v>
      </c>
    </row>
    <row r="115" spans="1:5" x14ac:dyDescent="0.25">
      <c r="A115" s="42" t="s">
        <v>1617</v>
      </c>
      <c r="B115" s="42" t="s">
        <v>1755</v>
      </c>
      <c r="C115" s="42" t="s">
        <v>1618</v>
      </c>
      <c r="D115" s="42" t="s">
        <v>1473</v>
      </c>
      <c r="E115" s="24" t="s">
        <v>1803</v>
      </c>
    </row>
    <row r="116" spans="1:5" x14ac:dyDescent="0.25">
      <c r="A116" s="69" t="s">
        <v>1617</v>
      </c>
      <c r="B116" s="69" t="s">
        <v>1755</v>
      </c>
      <c r="C116" s="69" t="s">
        <v>1801</v>
      </c>
      <c r="D116" s="69" t="s">
        <v>1437</v>
      </c>
      <c r="E116" s="70" t="s">
        <v>1781</v>
      </c>
    </row>
    <row r="117" spans="1:5" x14ac:dyDescent="0.25">
      <c r="A117" s="42" t="s">
        <v>1619</v>
      </c>
      <c r="B117" s="42" t="s">
        <v>1746</v>
      </c>
      <c r="C117" s="42" t="s">
        <v>1620</v>
      </c>
      <c r="D117" s="42" t="s">
        <v>1360</v>
      </c>
      <c r="E117" s="24" t="s">
        <v>1803</v>
      </c>
    </row>
    <row r="118" spans="1:5" x14ac:dyDescent="0.25">
      <c r="A118" s="42" t="s">
        <v>1621</v>
      </c>
      <c r="B118" s="42" t="s">
        <v>1746</v>
      </c>
      <c r="C118" s="42" t="s">
        <v>1622</v>
      </c>
      <c r="D118" s="42" t="s">
        <v>1360</v>
      </c>
      <c r="E118" s="24" t="s">
        <v>1803</v>
      </c>
    </row>
    <row r="119" spans="1:5" x14ac:dyDescent="0.25">
      <c r="A119" s="42" t="s">
        <v>1623</v>
      </c>
      <c r="B119" s="42" t="s">
        <v>1746</v>
      </c>
      <c r="C119" s="42" t="s">
        <v>1624</v>
      </c>
      <c r="D119" s="42" t="s">
        <v>1360</v>
      </c>
      <c r="E119" s="24" t="s">
        <v>1803</v>
      </c>
    </row>
    <row r="120" spans="1:5" x14ac:dyDescent="0.25">
      <c r="A120" s="42" t="s">
        <v>1625</v>
      </c>
      <c r="B120" s="42" t="s">
        <v>1746</v>
      </c>
      <c r="C120" s="42" t="s">
        <v>1626</v>
      </c>
      <c r="D120" s="42" t="s">
        <v>1360</v>
      </c>
      <c r="E120" s="24" t="s">
        <v>1803</v>
      </c>
    </row>
    <row r="121" spans="1:5" x14ac:dyDescent="0.25">
      <c r="A121" s="42" t="s">
        <v>1627</v>
      </c>
      <c r="B121" s="42" t="s">
        <v>1746</v>
      </c>
      <c r="C121" s="42" t="s">
        <v>1628</v>
      </c>
      <c r="D121" s="42" t="s">
        <v>1360</v>
      </c>
      <c r="E121" s="24" t="s">
        <v>1803</v>
      </c>
    </row>
    <row r="122" spans="1:5" x14ac:dyDescent="0.25">
      <c r="A122" s="42" t="s">
        <v>1629</v>
      </c>
      <c r="B122" s="42" t="s">
        <v>1746</v>
      </c>
      <c r="C122" s="42" t="s">
        <v>1630</v>
      </c>
      <c r="D122" s="42" t="s">
        <v>1360</v>
      </c>
      <c r="E122" s="24" t="s">
        <v>1803</v>
      </c>
    </row>
    <row r="123" spans="1:5" x14ac:dyDescent="0.25">
      <c r="A123" s="42" t="s">
        <v>1631</v>
      </c>
      <c r="B123" s="42" t="s">
        <v>1746</v>
      </c>
      <c r="C123" s="42" t="s">
        <v>1632</v>
      </c>
      <c r="D123" s="42" t="s">
        <v>1360</v>
      </c>
      <c r="E123" s="24" t="s">
        <v>1803</v>
      </c>
    </row>
    <row r="124" spans="1:5" x14ac:dyDescent="0.25">
      <c r="A124" s="42" t="s">
        <v>1633</v>
      </c>
      <c r="B124" s="42" t="s">
        <v>1746</v>
      </c>
      <c r="C124" s="42" t="s">
        <v>1634</v>
      </c>
      <c r="D124" s="42" t="s">
        <v>1360</v>
      </c>
      <c r="E124" s="24" t="s">
        <v>1803</v>
      </c>
    </row>
    <row r="125" spans="1:5" x14ac:dyDescent="0.25">
      <c r="A125" s="42" t="s">
        <v>1635</v>
      </c>
      <c r="B125" s="42" t="s">
        <v>1746</v>
      </c>
      <c r="C125" s="42" t="s">
        <v>1636</v>
      </c>
      <c r="D125" s="42" t="s">
        <v>1360</v>
      </c>
      <c r="E125" s="24" t="s">
        <v>1803</v>
      </c>
    </row>
    <row r="126" spans="1:5" x14ac:dyDescent="0.25">
      <c r="A126" s="42" t="s">
        <v>1637</v>
      </c>
      <c r="B126" s="42" t="s">
        <v>1746</v>
      </c>
      <c r="C126" s="42" t="s">
        <v>1638</v>
      </c>
      <c r="D126" s="42" t="s">
        <v>1360</v>
      </c>
      <c r="E126" s="24" t="s">
        <v>1803</v>
      </c>
    </row>
    <row r="127" spans="1:5" x14ac:dyDescent="0.25">
      <c r="A127" s="42" t="s">
        <v>1639</v>
      </c>
      <c r="B127" s="42" t="s">
        <v>1746</v>
      </c>
      <c r="C127" s="42" t="s">
        <v>1640</v>
      </c>
      <c r="D127" s="42" t="s">
        <v>1534</v>
      </c>
      <c r="E127" s="24" t="s">
        <v>1803</v>
      </c>
    </row>
    <row r="128" spans="1:5" x14ac:dyDescent="0.25">
      <c r="A128" s="42" t="s">
        <v>1641</v>
      </c>
      <c r="B128" s="42" t="s">
        <v>1746</v>
      </c>
      <c r="C128" s="42" t="s">
        <v>1642</v>
      </c>
      <c r="D128" s="42" t="s">
        <v>1534</v>
      </c>
      <c r="E128" s="24" t="s">
        <v>1803</v>
      </c>
    </row>
    <row r="129" spans="1:5" x14ac:dyDescent="0.25">
      <c r="A129" s="42" t="s">
        <v>1643</v>
      </c>
      <c r="B129" s="42" t="s">
        <v>1746</v>
      </c>
      <c r="C129" s="42" t="s">
        <v>1644</v>
      </c>
      <c r="D129" s="42" t="s">
        <v>1645</v>
      </c>
      <c r="E129" s="24" t="s">
        <v>1803</v>
      </c>
    </row>
    <row r="130" spans="1:5" x14ac:dyDescent="0.25">
      <c r="A130" s="42" t="s">
        <v>1646</v>
      </c>
      <c r="B130" s="42" t="s">
        <v>1746</v>
      </c>
      <c r="C130" s="42" t="s">
        <v>1647</v>
      </c>
      <c r="D130" s="42" t="s">
        <v>1648</v>
      </c>
      <c r="E130" s="24" t="s">
        <v>1803</v>
      </c>
    </row>
    <row r="131" spans="1:5" x14ac:dyDescent="0.25">
      <c r="A131" s="42" t="s">
        <v>1649</v>
      </c>
      <c r="B131" s="42" t="s">
        <v>1746</v>
      </c>
      <c r="C131" s="42" t="s">
        <v>1650</v>
      </c>
      <c r="D131" s="42" t="s">
        <v>1651</v>
      </c>
      <c r="E131" s="24" t="s">
        <v>1803</v>
      </c>
    </row>
    <row r="132" spans="1:5" x14ac:dyDescent="0.25">
      <c r="A132" s="42" t="s">
        <v>1652</v>
      </c>
      <c r="B132" s="42" t="s">
        <v>1746</v>
      </c>
      <c r="C132" s="42" t="s">
        <v>1653</v>
      </c>
      <c r="D132" s="42" t="s">
        <v>1654</v>
      </c>
      <c r="E132" s="24" t="s">
        <v>1803</v>
      </c>
    </row>
    <row r="133" spans="1:5" x14ac:dyDescent="0.25">
      <c r="A133" s="42" t="s">
        <v>1655</v>
      </c>
      <c r="B133" s="42" t="s">
        <v>1746</v>
      </c>
      <c r="C133" s="42" t="s">
        <v>1656</v>
      </c>
      <c r="D133" s="42" t="s">
        <v>1360</v>
      </c>
      <c r="E133" s="24" t="s">
        <v>1803</v>
      </c>
    </row>
    <row r="134" spans="1:5" x14ac:dyDescent="0.25">
      <c r="A134" s="42" t="s">
        <v>1657</v>
      </c>
      <c r="B134" s="42" t="s">
        <v>1756</v>
      </c>
      <c r="C134" s="42" t="s">
        <v>1658</v>
      </c>
      <c r="D134" s="42" t="s">
        <v>1659</v>
      </c>
      <c r="E134" s="24" t="s">
        <v>1803</v>
      </c>
    </row>
    <row r="135" spans="1:5" x14ac:dyDescent="0.25">
      <c r="A135" s="42" t="s">
        <v>1660</v>
      </c>
      <c r="B135" s="42" t="s">
        <v>1756</v>
      </c>
      <c r="C135" s="42" t="s">
        <v>1661</v>
      </c>
      <c r="D135" s="42" t="s">
        <v>1659</v>
      </c>
      <c r="E135" s="24" t="s">
        <v>1803</v>
      </c>
    </row>
    <row r="136" spans="1:5" x14ac:dyDescent="0.25">
      <c r="A136" s="42" t="s">
        <v>1662</v>
      </c>
      <c r="B136" s="42" t="s">
        <v>1756</v>
      </c>
      <c r="C136" s="42" t="s">
        <v>1663</v>
      </c>
      <c r="D136" s="42" t="s">
        <v>1659</v>
      </c>
      <c r="E136" s="24" t="s">
        <v>1803</v>
      </c>
    </row>
    <row r="137" spans="1:5" x14ac:dyDescent="0.25">
      <c r="A137" s="42" t="s">
        <v>1664</v>
      </c>
      <c r="B137" s="42" t="s">
        <v>1756</v>
      </c>
      <c r="C137" s="42" t="s">
        <v>1665</v>
      </c>
      <c r="D137" s="42" t="s">
        <v>1666</v>
      </c>
      <c r="E137" s="24" t="s">
        <v>1803</v>
      </c>
    </row>
    <row r="138" spans="1:5" x14ac:dyDescent="0.25">
      <c r="A138" s="42" t="s">
        <v>1667</v>
      </c>
      <c r="B138" s="42" t="s">
        <v>1756</v>
      </c>
      <c r="C138" s="42" t="s">
        <v>1668</v>
      </c>
      <c r="D138" s="42" t="s">
        <v>1669</v>
      </c>
      <c r="E138" s="24" t="s">
        <v>1803</v>
      </c>
    </row>
    <row r="139" spans="1:5" x14ac:dyDescent="0.25">
      <c r="A139" s="42" t="s">
        <v>1670</v>
      </c>
      <c r="B139" s="42" t="s">
        <v>1756</v>
      </c>
      <c r="C139" s="42" t="s">
        <v>1671</v>
      </c>
      <c r="D139" s="42" t="s">
        <v>1491</v>
      </c>
      <c r="E139" s="24" t="s">
        <v>1803</v>
      </c>
    </row>
    <row r="140" spans="1:5" x14ac:dyDescent="0.25">
      <c r="A140" s="42" t="s">
        <v>1672</v>
      </c>
      <c r="B140" s="42" t="s">
        <v>1756</v>
      </c>
      <c r="C140" s="42" t="s">
        <v>1673</v>
      </c>
      <c r="D140" s="42" t="s">
        <v>1491</v>
      </c>
      <c r="E140" s="24" t="s">
        <v>1803</v>
      </c>
    </row>
    <row r="141" spans="1:5" x14ac:dyDescent="0.25">
      <c r="A141" s="42" t="s">
        <v>1674</v>
      </c>
      <c r="B141" s="42" t="s">
        <v>1756</v>
      </c>
      <c r="C141" s="42" t="s">
        <v>1675</v>
      </c>
      <c r="D141" s="42" t="s">
        <v>1491</v>
      </c>
      <c r="E141" s="24" t="s">
        <v>1803</v>
      </c>
    </row>
    <row r="142" spans="1:5" x14ac:dyDescent="0.25">
      <c r="A142" s="42" t="s">
        <v>1676</v>
      </c>
      <c r="B142" s="42" t="s">
        <v>1757</v>
      </c>
      <c r="C142" s="42" t="s">
        <v>1677</v>
      </c>
      <c r="D142" s="42" t="s">
        <v>1528</v>
      </c>
      <c r="E142" s="24" t="s">
        <v>1803</v>
      </c>
    </row>
    <row r="143" spans="1:5" x14ac:dyDescent="0.25">
      <c r="A143" s="42" t="s">
        <v>1678</v>
      </c>
      <c r="B143" s="42" t="s">
        <v>1758</v>
      </c>
      <c r="C143" s="42" t="s">
        <v>1679</v>
      </c>
      <c r="D143" s="42" t="s">
        <v>1528</v>
      </c>
      <c r="E143" s="24" t="s">
        <v>1803</v>
      </c>
    </row>
    <row r="144" spans="1:5" x14ac:dyDescent="0.25">
      <c r="A144" s="42" t="s">
        <v>1680</v>
      </c>
      <c r="B144" s="42" t="s">
        <v>1759</v>
      </c>
      <c r="C144" s="42" t="s">
        <v>1681</v>
      </c>
      <c r="D144" s="42" t="s">
        <v>1682</v>
      </c>
      <c r="E144" s="24" t="s">
        <v>1803</v>
      </c>
    </row>
    <row r="145" spans="1:5" x14ac:dyDescent="0.25">
      <c r="A145" s="42" t="s">
        <v>1683</v>
      </c>
      <c r="B145" s="42" t="s">
        <v>1759</v>
      </c>
      <c r="C145" s="42" t="s">
        <v>1684</v>
      </c>
      <c r="D145" s="42" t="s">
        <v>1682</v>
      </c>
      <c r="E145" s="24" t="s">
        <v>1802</v>
      </c>
    </row>
    <row r="146" spans="1:5" x14ac:dyDescent="0.25">
      <c r="A146" s="42" t="s">
        <v>1685</v>
      </c>
      <c r="B146" s="42" t="s">
        <v>1759</v>
      </c>
      <c r="C146" s="42" t="s">
        <v>1686</v>
      </c>
      <c r="D146" s="42" t="s">
        <v>1682</v>
      </c>
      <c r="E146" s="24" t="s">
        <v>1803</v>
      </c>
    </row>
    <row r="147" spans="1:5" x14ac:dyDescent="0.25">
      <c r="A147" s="42" t="s">
        <v>1687</v>
      </c>
      <c r="B147" s="42" t="s">
        <v>1759</v>
      </c>
      <c r="C147" s="42" t="s">
        <v>1688</v>
      </c>
      <c r="D147" s="42" t="s">
        <v>1682</v>
      </c>
      <c r="E147" s="24" t="s">
        <v>1802</v>
      </c>
    </row>
    <row r="148" spans="1:5" x14ac:dyDescent="0.25">
      <c r="A148" s="42" t="s">
        <v>1689</v>
      </c>
      <c r="B148" s="42" t="s">
        <v>1759</v>
      </c>
      <c r="C148" s="42" t="s">
        <v>1690</v>
      </c>
      <c r="D148" s="42" t="s">
        <v>1682</v>
      </c>
      <c r="E148" s="24" t="s">
        <v>1803</v>
      </c>
    </row>
    <row r="149" spans="1:5" x14ac:dyDescent="0.25">
      <c r="A149" s="42" t="s">
        <v>1691</v>
      </c>
      <c r="B149" s="42" t="s">
        <v>1759</v>
      </c>
      <c r="C149" s="42" t="s">
        <v>1692</v>
      </c>
      <c r="D149" s="42" t="s">
        <v>1682</v>
      </c>
      <c r="E149" s="24" t="s">
        <v>1802</v>
      </c>
    </row>
    <row r="150" spans="1:5" x14ac:dyDescent="0.25">
      <c r="A150" s="42" t="s">
        <v>1693</v>
      </c>
      <c r="B150" s="42" t="s">
        <v>1759</v>
      </c>
      <c r="C150" s="42" t="s">
        <v>1694</v>
      </c>
      <c r="D150" s="42" t="s">
        <v>1682</v>
      </c>
      <c r="E150" s="24" t="s">
        <v>1803</v>
      </c>
    </row>
    <row r="151" spans="1:5" x14ac:dyDescent="0.25">
      <c r="A151" s="42" t="s">
        <v>1695</v>
      </c>
      <c r="B151" s="42" t="s">
        <v>1759</v>
      </c>
      <c r="C151" s="42" t="s">
        <v>1696</v>
      </c>
      <c r="D151" s="42" t="s">
        <v>1682</v>
      </c>
      <c r="E151" s="24" t="s">
        <v>1802</v>
      </c>
    </row>
    <row r="152" spans="1:5" x14ac:dyDescent="0.25">
      <c r="A152" s="42" t="s">
        <v>1697</v>
      </c>
      <c r="B152" s="42" t="s">
        <v>1759</v>
      </c>
      <c r="C152" s="42" t="s">
        <v>1698</v>
      </c>
      <c r="D152" s="42" t="s">
        <v>1682</v>
      </c>
      <c r="E152" s="24" t="s">
        <v>1803</v>
      </c>
    </row>
    <row r="153" spans="1:5" x14ac:dyDescent="0.25">
      <c r="A153" s="42" t="s">
        <v>1699</v>
      </c>
      <c r="B153" s="42" t="s">
        <v>1759</v>
      </c>
      <c r="C153" s="42" t="s">
        <v>1700</v>
      </c>
      <c r="D153" s="42" t="s">
        <v>1682</v>
      </c>
      <c r="E153" s="24" t="s">
        <v>1802</v>
      </c>
    </row>
    <row r="154" spans="1:5" x14ac:dyDescent="0.25">
      <c r="A154" s="42" t="s">
        <v>1701</v>
      </c>
      <c r="B154" s="42" t="s">
        <v>1759</v>
      </c>
      <c r="C154" s="42" t="s">
        <v>1702</v>
      </c>
      <c r="D154" s="42" t="s">
        <v>1682</v>
      </c>
      <c r="E154" s="24" t="s">
        <v>1803</v>
      </c>
    </row>
    <row r="155" spans="1:5" x14ac:dyDescent="0.25">
      <c r="A155" s="42" t="s">
        <v>1703</v>
      </c>
      <c r="B155" s="42" t="s">
        <v>1759</v>
      </c>
      <c r="C155" s="42" t="s">
        <v>1704</v>
      </c>
      <c r="D155" s="42" t="s">
        <v>1682</v>
      </c>
      <c r="E155" s="24" t="s">
        <v>1802</v>
      </c>
    </row>
    <row r="156" spans="1:5" x14ac:dyDescent="0.25">
      <c r="A156" s="42" t="s">
        <v>1705</v>
      </c>
      <c r="B156" s="42" t="s">
        <v>1759</v>
      </c>
      <c r="C156" s="42" t="s">
        <v>1706</v>
      </c>
      <c r="D156" s="42" t="s">
        <v>1682</v>
      </c>
      <c r="E156" s="24" t="s">
        <v>1803</v>
      </c>
    </row>
    <row r="157" spans="1:5" x14ac:dyDescent="0.25">
      <c r="A157" s="42" t="s">
        <v>1707</v>
      </c>
      <c r="B157" s="42" t="s">
        <v>1759</v>
      </c>
      <c r="C157" s="42" t="s">
        <v>1708</v>
      </c>
      <c r="D157" s="42" t="s">
        <v>1682</v>
      </c>
      <c r="E157" s="24" t="s">
        <v>1802</v>
      </c>
    </row>
    <row r="158" spans="1:5" x14ac:dyDescent="0.25">
      <c r="A158" s="42" t="s">
        <v>1709</v>
      </c>
      <c r="B158" s="42" t="s">
        <v>1759</v>
      </c>
      <c r="C158" s="42" t="s">
        <v>1710</v>
      </c>
      <c r="D158" s="42" t="s">
        <v>1682</v>
      </c>
      <c r="E158" s="24" t="s">
        <v>1803</v>
      </c>
    </row>
    <row r="159" spans="1:5" x14ac:dyDescent="0.25">
      <c r="A159" s="42" t="s">
        <v>1711</v>
      </c>
      <c r="B159" s="42" t="s">
        <v>1759</v>
      </c>
      <c r="C159" s="42" t="s">
        <v>1712</v>
      </c>
      <c r="D159" s="42" t="s">
        <v>1682</v>
      </c>
      <c r="E159" s="24" t="s">
        <v>1802</v>
      </c>
    </row>
    <row r="160" spans="1:5" x14ac:dyDescent="0.25">
      <c r="A160" s="42" t="s">
        <v>1713</v>
      </c>
      <c r="B160" s="42" t="s">
        <v>1759</v>
      </c>
      <c r="C160" s="42" t="s">
        <v>1714</v>
      </c>
      <c r="D160" s="42" t="s">
        <v>1682</v>
      </c>
      <c r="E160" s="24" t="s">
        <v>1803</v>
      </c>
    </row>
    <row r="161" spans="1:5" x14ac:dyDescent="0.25">
      <c r="A161" s="42" t="s">
        <v>1715</v>
      </c>
      <c r="B161" s="42" t="s">
        <v>1759</v>
      </c>
      <c r="C161" s="42" t="s">
        <v>1716</v>
      </c>
      <c r="D161" s="42" t="s">
        <v>1682</v>
      </c>
      <c r="E161" s="24" t="s">
        <v>1802</v>
      </c>
    </row>
    <row r="162" spans="1:5" x14ac:dyDescent="0.25">
      <c r="A162" s="42" t="s">
        <v>1717</v>
      </c>
      <c r="B162" s="42" t="s">
        <v>1747</v>
      </c>
      <c r="C162" s="42" t="s">
        <v>1718</v>
      </c>
      <c r="D162" s="42" t="s">
        <v>1719</v>
      </c>
      <c r="E162" s="24" t="s">
        <v>1802</v>
      </c>
    </row>
    <row r="163" spans="1:5" x14ac:dyDescent="0.25">
      <c r="A163" s="42" t="s">
        <v>1720</v>
      </c>
      <c r="B163" s="42" t="s">
        <v>1747</v>
      </c>
      <c r="C163" s="42" t="s">
        <v>1721</v>
      </c>
      <c r="D163" s="42" t="s">
        <v>1719</v>
      </c>
      <c r="E163" s="24" t="s">
        <v>1802</v>
      </c>
    </row>
    <row r="164" spans="1:5" x14ac:dyDescent="0.25">
      <c r="A164" s="42" t="s">
        <v>1722</v>
      </c>
      <c r="B164" s="42" t="s">
        <v>1747</v>
      </c>
      <c r="C164" s="42" t="s">
        <v>1723</v>
      </c>
      <c r="D164" s="42" t="s">
        <v>1724</v>
      </c>
      <c r="E164" s="24" t="s">
        <v>1802</v>
      </c>
    </row>
    <row r="165" spans="1:5" x14ac:dyDescent="0.25">
      <c r="A165" s="42" t="s">
        <v>1725</v>
      </c>
      <c r="B165" s="42" t="s">
        <v>1747</v>
      </c>
      <c r="C165" s="42" t="s">
        <v>1726</v>
      </c>
      <c r="D165" s="42" t="s">
        <v>1727</v>
      </c>
      <c r="E165" s="24" t="s">
        <v>1802</v>
      </c>
    </row>
    <row r="166" spans="1:5" x14ac:dyDescent="0.25">
      <c r="A166" s="42" t="s">
        <v>1728</v>
      </c>
      <c r="B166" s="42" t="s">
        <v>1747</v>
      </c>
      <c r="C166" s="42" t="s">
        <v>1729</v>
      </c>
      <c r="D166" s="42" t="s">
        <v>1727</v>
      </c>
      <c r="E166" s="24" t="s">
        <v>1802</v>
      </c>
    </row>
    <row r="167" spans="1:5" x14ac:dyDescent="0.25">
      <c r="A167" s="42" t="s">
        <v>1730</v>
      </c>
      <c r="B167" s="42" t="s">
        <v>1747</v>
      </c>
      <c r="C167" s="42" t="s">
        <v>1731</v>
      </c>
      <c r="D167" s="42" t="s">
        <v>1732</v>
      </c>
      <c r="E167" s="24" t="s">
        <v>1802</v>
      </c>
    </row>
    <row r="168" spans="1:5" x14ac:dyDescent="0.25">
      <c r="A168" s="42" t="s">
        <v>1733</v>
      </c>
      <c r="B168" s="42" t="s">
        <v>1747</v>
      </c>
      <c r="C168" s="42" t="s">
        <v>1734</v>
      </c>
      <c r="D168" s="42" t="s">
        <v>1732</v>
      </c>
      <c r="E168" s="24" t="s">
        <v>1802</v>
      </c>
    </row>
    <row r="169" spans="1:5" x14ac:dyDescent="0.25">
      <c r="A169" s="42" t="s">
        <v>1735</v>
      </c>
      <c r="B169" s="42" t="s">
        <v>1747</v>
      </c>
      <c r="C169" s="42" t="s">
        <v>1736</v>
      </c>
      <c r="D169" s="42" t="s">
        <v>1732</v>
      </c>
      <c r="E169" s="24" t="s">
        <v>1802</v>
      </c>
    </row>
    <row r="170" spans="1:5" x14ac:dyDescent="0.25">
      <c r="A170" s="42" t="s">
        <v>1737</v>
      </c>
      <c r="B170" s="42" t="s">
        <v>1747</v>
      </c>
      <c r="C170" s="42" t="s">
        <v>1738</v>
      </c>
      <c r="D170" s="42" t="s">
        <v>1732</v>
      </c>
      <c r="E170" s="24" t="s">
        <v>1802</v>
      </c>
    </row>
    <row r="171" spans="1:5" x14ac:dyDescent="0.25">
      <c r="A171" s="42" t="s">
        <v>1739</v>
      </c>
      <c r="B171" s="42" t="s">
        <v>1747</v>
      </c>
      <c r="C171" s="42" t="s">
        <v>1740</v>
      </c>
      <c r="D171" s="42" t="s">
        <v>1732</v>
      </c>
      <c r="E171" s="24" t="s">
        <v>1802</v>
      </c>
    </row>
  </sheetData>
  <autoFilter ref="A1:E171" xr:uid="{00000000-0009-0000-0000-000005000000}"/>
  <pageMargins left="0.7" right="0.7" top="0.75" bottom="0.75" header="0.3" footer="0.3"/>
  <legacyDrawing r:id="rId1"/>
</worksheet>
</file>

<file path=docMetadata/LabelInfo.xml><?xml version="1.0" encoding="utf-8"?>
<clbl:labelList xmlns:clbl="http://schemas.microsoft.com/office/2020/mipLabelMetadata">
  <clbl:label id="{e741d71c-c6b6-47b0-803c-0f3b32b07556}" enabled="0" method="" siteId="{e741d71c-c6b6-47b0-803c-0f3b32b0755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INSTRUCTIONS</vt:lpstr>
      <vt:lpstr>CONTRACTOR INPUT</vt:lpstr>
      <vt:lpstr>CALC</vt:lpstr>
      <vt:lpstr>INFO-P</vt:lpstr>
      <vt:lpstr>INFO TABLE</vt:lpstr>
      <vt:lpstr>Sheet1</vt:lpstr>
      <vt:lpstr>BID_ZONE</vt:lpstr>
      <vt:lpstr>SUPPLIER</vt:lpstr>
      <vt:lpstr>WC_LOOKUP</vt:lpstr>
      <vt:lpstr>WC_NAME</vt:lpstr>
    </vt:vector>
  </TitlesOfParts>
  <Company>AT&amp;T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HEIDRICH, BOBBY (ROBERT)</dc:creator>
  <cp:lastModifiedBy>Yuliet Brito Muñoz</cp:lastModifiedBy>
  <cp:lastPrinted>2015-06-03T17:14:10Z</cp:lastPrinted>
  <dcterms:created xsi:type="dcterms:W3CDTF">2014-07-17T17:53:34Z</dcterms:created>
  <dcterms:modified xsi:type="dcterms:W3CDTF">2024-09-12T16:04:47Z</dcterms:modified>
</cp:coreProperties>
</file>